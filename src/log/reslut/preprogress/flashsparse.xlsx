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<sst xmlns="http://schemas.openxmlformats.org/spreadsheetml/2006/main" count="1935" uniqueCount="1584">
  <si>
    <t>DTC</t>
  </si>
  <si>
    <t>Flashsparse</t>
  </si>
  <si>
    <t>CoTC</t>
  </si>
  <si>
    <t>runtime</t>
  </si>
  <si>
    <t>bcsstk18</t>
  </si>
  <si>
    <t>11948</t>
  </si>
  <si>
    <t>149090</t>
  </si>
  <si>
    <t>5.943591117858887</t>
  </si>
  <si>
    <t>5.999330043792725</t>
  </si>
  <si>
    <t>5.33094</t>
  </si>
  <si>
    <t>sinc15</t>
  </si>
  <si>
    <t>11532</t>
  </si>
  <si>
    <t>568526</t>
  </si>
  <si>
    <t>4.394834041595459</t>
  </si>
  <si>
    <t>7.225722789764404</t>
  </si>
  <si>
    <t>55.3103</t>
  </si>
  <si>
    <t>lowThrust_5</t>
  </si>
  <si>
    <t>16262</t>
  </si>
  <si>
    <t>198369</t>
  </si>
  <si>
    <t>29.09988021850586</t>
  </si>
  <si>
    <t>28.56531524658203</t>
  </si>
  <si>
    <t>2766.11</t>
  </si>
  <si>
    <t>lowThrust_7</t>
  </si>
  <si>
    <t>17378</t>
  </si>
  <si>
    <t>211561</t>
  </si>
  <si>
    <t>31.18479347229004</t>
  </si>
  <si>
    <t>30.602500915527344</t>
  </si>
  <si>
    <t>3161.92</t>
  </si>
  <si>
    <t>wing_nodal</t>
  </si>
  <si>
    <t>10937</t>
  </si>
  <si>
    <t>150976</t>
  </si>
  <si>
    <t>3.5684549808502197</t>
  </si>
  <si>
    <t>3.6070470809936523</t>
  </si>
  <si>
    <t>4.76365</t>
  </si>
  <si>
    <t>g7jac040sc</t>
  </si>
  <si>
    <t>11790</t>
  </si>
  <si>
    <t>114671</t>
  </si>
  <si>
    <t>1.827942967414856</t>
  </si>
  <si>
    <t>2.5665581226348877</t>
  </si>
  <si>
    <t>8.57088</t>
  </si>
  <si>
    <t>nopoly</t>
  </si>
  <si>
    <t>10774</t>
  </si>
  <si>
    <t>70842</t>
  </si>
  <si>
    <t>1.2265739440917969</t>
  </si>
  <si>
    <t>1.4430500268936157</t>
  </si>
  <si>
    <t>1.45101</t>
  </si>
  <si>
    <t>usps_norm_5NN</t>
  </si>
  <si>
    <t>11000</t>
  </si>
  <si>
    <t>81112</t>
  </si>
  <si>
    <t>1.2102110385894775</t>
  </si>
  <si>
    <t>2.1020138263702393</t>
  </si>
  <si>
    <t>1.7111</t>
  </si>
  <si>
    <t>tsyl201</t>
  </si>
  <si>
    <t>20685</t>
  </si>
  <si>
    <t>2454957</t>
  </si>
  <si>
    <t>8.04769515991211</t>
  </si>
  <si>
    <t>11.606412887573242</t>
  </si>
  <si>
    <t>85.8491</t>
  </si>
  <si>
    <t>bbmat</t>
  </si>
  <si>
    <t>38744</t>
  </si>
  <si>
    <t>1771722</t>
  </si>
  <si>
    <t>5.750271797180176</t>
  </si>
  <si>
    <t>8.958864212036133</t>
  </si>
  <si>
    <t>18.8549</t>
  </si>
  <si>
    <t>ted_A</t>
  </si>
  <si>
    <t>10605</t>
  </si>
  <si>
    <t>424587</t>
  </si>
  <si>
    <t>3.9404919147491455</t>
  </si>
  <si>
    <t>4.24625825881958</t>
  </si>
  <si>
    <t>23.1752</t>
  </si>
  <si>
    <t>laminar_duct3D</t>
  </si>
  <si>
    <t>67173</t>
  </si>
  <si>
    <t>3833077</t>
  </si>
  <si>
    <t>7.917609214782715</t>
  </si>
  <si>
    <t>19.156787872314453</t>
  </si>
  <si>
    <t>25.5959</t>
  </si>
  <si>
    <t>GaAsH6</t>
  </si>
  <si>
    <t>61349</t>
  </si>
  <si>
    <t>3381809</t>
  </si>
  <si>
    <t>33.628143310546875</t>
  </si>
  <si>
    <t>43.267330169677734</t>
  </si>
  <si>
    <t>980.605</t>
  </si>
  <si>
    <t>ns3Da</t>
  </si>
  <si>
    <t>20414</t>
  </si>
  <si>
    <t>1679599</t>
  </si>
  <si>
    <t>11.314580917358398</t>
  </si>
  <si>
    <t>21.639371871948242</t>
  </si>
  <si>
    <t>604.846</t>
  </si>
  <si>
    <t>TEM27623</t>
  </si>
  <si>
    <t>27623</t>
  </si>
  <si>
    <t>439469</t>
  </si>
  <si>
    <t>4.448770046234131</t>
  </si>
  <si>
    <t>4.269646167755127</t>
  </si>
  <si>
    <t>4.94182</t>
  </si>
  <si>
    <t>bcsstk37</t>
  </si>
  <si>
    <t>25503</t>
  </si>
  <si>
    <t>1140977</t>
  </si>
  <si>
    <t>4.55952787399292</t>
  </si>
  <si>
    <t>6.105081081390381</t>
  </si>
  <si>
    <t>17.2186</t>
  </si>
  <si>
    <t>smt</t>
  </si>
  <si>
    <t>25710</t>
  </si>
  <si>
    <t>3753184</t>
  </si>
  <si>
    <t>12.765889167785645</t>
  </si>
  <si>
    <t>18.6307430267334</t>
  </si>
  <si>
    <t>217.045</t>
  </si>
  <si>
    <t>crack</t>
  </si>
  <si>
    <t>10240</t>
  </si>
  <si>
    <t>60760</t>
  </si>
  <si>
    <t>1.2265700101852417</t>
  </si>
  <si>
    <t>1.4883170127868652</t>
  </si>
  <si>
    <t>1.54419</t>
  </si>
  <si>
    <t>af23560</t>
  </si>
  <si>
    <t>23560</t>
  </si>
  <si>
    <t>484256</t>
  </si>
  <si>
    <t>3.2400999069213867</t>
  </si>
  <si>
    <t>3.678908109664917</t>
  </si>
  <si>
    <t>2.17498</t>
  </si>
  <si>
    <t>x104</t>
  </si>
  <si>
    <t>108384</t>
  </si>
  <si>
    <t>10167624</t>
  </si>
  <si>
    <t>19.816116333007812</t>
  </si>
  <si>
    <t>36.79151153564453</t>
  </si>
  <si>
    <t>74.3578</t>
  </si>
  <si>
    <t>pkustk06</t>
  </si>
  <si>
    <t>43164</t>
  </si>
  <si>
    <t>2571768</t>
  </si>
  <si>
    <t>7.55556583404541</t>
  </si>
  <si>
    <t>11.810978889465332</t>
  </si>
  <si>
    <t>24.4204</t>
  </si>
  <si>
    <t>shuttle_eddy_id_881</t>
  </si>
  <si>
    <t>10429</t>
  </si>
  <si>
    <t>103599</t>
  </si>
  <si>
    <t>2.5820579528808594</t>
  </si>
  <si>
    <t>1.9374409914016724</t>
  </si>
  <si>
    <t>2.63885</t>
  </si>
  <si>
    <t>EAT_SR</t>
  </si>
  <si>
    <t>23219</t>
  </si>
  <si>
    <t>325589</t>
  </si>
  <si>
    <t>2.6917290687561035</t>
  </si>
  <si>
    <t>5.277621269226074</t>
  </si>
  <si>
    <t>4.58379e-41</t>
  </si>
  <si>
    <t>3dtube</t>
  </si>
  <si>
    <t>45330</t>
  </si>
  <si>
    <t>3213618</t>
  </si>
  <si>
    <t>38.38274002075195</t>
  </si>
  <si>
    <t>47.35908508300781</t>
  </si>
  <si>
    <t>1193.69</t>
  </si>
  <si>
    <t>mixtank_new</t>
  </si>
  <si>
    <t>29957</t>
  </si>
  <si>
    <t>1995041</t>
  </si>
  <si>
    <t>7.037621974945068</t>
  </si>
  <si>
    <t>13.941099166870117</t>
  </si>
  <si>
    <t>127.098</t>
  </si>
  <si>
    <t>fe_4elt2</t>
  </si>
  <si>
    <t>11143</t>
  </si>
  <si>
    <t>65636</t>
  </si>
  <si>
    <t>1.2080529928207397</t>
  </si>
  <si>
    <t>1.4266719818115234</t>
  </si>
  <si>
    <t>1.0199</t>
  </si>
  <si>
    <t>sme3Da</t>
  </si>
  <si>
    <t>12504</t>
  </si>
  <si>
    <t>874887</t>
  </si>
  <si>
    <t>10.498579978942871</t>
  </si>
  <si>
    <t>14.342511177062988</t>
  </si>
  <si>
    <t>384.318</t>
  </si>
  <si>
    <t>ted_B</t>
  </si>
  <si>
    <t>144579</t>
  </si>
  <si>
    <t>1.9754760265350342</t>
  </si>
  <si>
    <t>2.1421079635620117</t>
  </si>
  <si>
    <t>6.04365</t>
  </si>
  <si>
    <t>lowThrust_13</t>
  </si>
  <si>
    <t>18476</t>
  </si>
  <si>
    <t>224897</t>
  </si>
  <si>
    <t>38.859153747558594</t>
  </si>
  <si>
    <t>42.577362060546875</t>
  </si>
  <si>
    <t>3541.14</t>
  </si>
  <si>
    <t>std1_Jac3_db</t>
  </si>
  <si>
    <t>21982</t>
  </si>
  <si>
    <t>531826</t>
  </si>
  <si>
    <t>8.03095817565918</t>
  </si>
  <si>
    <t>7.53737211227417</t>
  </si>
  <si>
    <t>89.1894</t>
  </si>
  <si>
    <t>crystm02</t>
  </si>
  <si>
    <t>13965</t>
  </si>
  <si>
    <t>322905</t>
  </si>
  <si>
    <t>2.3046610355377197</t>
  </si>
  <si>
    <t>4.176441192626953</t>
  </si>
  <si>
    <t>6.9335</t>
  </si>
  <si>
    <t>c-42</t>
  </si>
  <si>
    <t>10471</t>
  </si>
  <si>
    <t>110285</t>
  </si>
  <si>
    <t>21.61737823486328</t>
  </si>
  <si>
    <t>19.52983283996582</t>
  </si>
  <si>
    <t>835.412</t>
  </si>
  <si>
    <t>TSOPF_FS_b300_c1</t>
  </si>
  <si>
    <t>29214</t>
  </si>
  <si>
    <t>4400122</t>
  </si>
  <si>
    <t>419.306396484375</t>
  </si>
  <si>
    <t>269.61383056640625</t>
  </si>
  <si>
    <t>102108</t>
  </si>
  <si>
    <t>foldoc</t>
  </si>
  <si>
    <t>13356</t>
  </si>
  <si>
    <t>120238</t>
  </si>
  <si>
    <t>1.413593053817749</t>
  </si>
  <si>
    <t>1.8242520093917847</t>
  </si>
  <si>
    <t>6.49216</t>
  </si>
  <si>
    <t>coupled</t>
  </si>
  <si>
    <t>11341</t>
  </si>
  <si>
    <t>98523</t>
  </si>
  <si>
    <t>5.123816013336182</t>
  </si>
  <si>
    <t>6.47658634185791</t>
  </si>
  <si>
    <t>362.059</t>
  </si>
  <si>
    <t>g7jac060sc</t>
  </si>
  <si>
    <t>17730</t>
  </si>
  <si>
    <t>203316</t>
  </si>
  <si>
    <t>2.785115957260132</t>
  </si>
  <si>
    <t>2.9970688819885254</t>
  </si>
  <si>
    <t>12.9239</t>
  </si>
  <si>
    <t>TSOPF_RS_b2052_c1</t>
  </si>
  <si>
    <t>25626</t>
  </si>
  <si>
    <t>6761100</t>
  </si>
  <si>
    <t>28.807218551635742</t>
  </si>
  <si>
    <t>27.651531219482422</t>
  </si>
  <si>
    <t>385.063</t>
  </si>
  <si>
    <t>msc10848</t>
  </si>
  <si>
    <t>10848</t>
  </si>
  <si>
    <t>1229778</t>
  </si>
  <si>
    <t>15.785057067871094</t>
  </si>
  <si>
    <t>14.755044937133789</t>
  </si>
  <si>
    <t>295.006</t>
  </si>
  <si>
    <t>g7jac050sc</t>
  </si>
  <si>
    <t>14760</t>
  </si>
  <si>
    <t>157990</t>
  </si>
  <si>
    <t>2.7537689208984375</t>
  </si>
  <si>
    <t>3.2352709770202637</t>
  </si>
  <si>
    <t>11.6961</t>
  </si>
  <si>
    <t>human_gene1</t>
  </si>
  <si>
    <t>22283</t>
  </si>
  <si>
    <t>24669643</t>
  </si>
  <si>
    <t>175.54550170898438</t>
  </si>
  <si>
    <t>257.86968994140625</t>
  </si>
  <si>
    <t>57452.6</t>
  </si>
  <si>
    <t>tube1</t>
  </si>
  <si>
    <t>21498</t>
  </si>
  <si>
    <t>897056</t>
  </si>
  <si>
    <t>2.4816060066223145</t>
  </si>
  <si>
    <t>4.235128879547119</t>
  </si>
  <si>
    <t>8.9047</t>
  </si>
  <si>
    <t>human_gene2</t>
  </si>
  <si>
    <t>14340</t>
  </si>
  <si>
    <t>18068388</t>
  </si>
  <si>
    <t>174.7050323486328</t>
  </si>
  <si>
    <t>190.63706970214844</t>
  </si>
  <si>
    <t>43327.5</t>
  </si>
  <si>
    <t>li</t>
  </si>
  <si>
    <t>22695</t>
  </si>
  <si>
    <t>1350309</t>
  </si>
  <si>
    <t>3.282681941986084</t>
  </si>
  <si>
    <t>7.550224304199219</t>
  </si>
  <si>
    <t>51.4253</t>
  </si>
  <si>
    <t>raefsky3</t>
  </si>
  <si>
    <t>21200</t>
  </si>
  <si>
    <t>1488768</t>
  </si>
  <si>
    <t>2.934328079223633</t>
  </si>
  <si>
    <t>5.716531276702881</t>
  </si>
  <si>
    <t>8.78182</t>
  </si>
  <si>
    <t>pkustk09</t>
  </si>
  <si>
    <t>33960</t>
  </si>
  <si>
    <t>1583640</t>
  </si>
  <si>
    <t>4.74114990234375</t>
  </si>
  <si>
    <t>8.332941055297852</t>
  </si>
  <si>
    <t>11.2476</t>
  </si>
  <si>
    <t>nd6k</t>
  </si>
  <si>
    <t>18000</t>
  </si>
  <si>
    <t>6897316</t>
  </si>
  <si>
    <t>23.182815551757812</t>
  </si>
  <si>
    <t>28.59931755065918</t>
  </si>
  <si>
    <t>442.139</t>
  </si>
  <si>
    <t>s3dkq4m2</t>
  </si>
  <si>
    <t>90449</t>
  </si>
  <si>
    <t>4820891</t>
  </si>
  <si>
    <t>8.674044609069824</t>
  </si>
  <si>
    <t>16.142778396606445</t>
  </si>
  <si>
    <t>8.33434</t>
  </si>
  <si>
    <t>lhr14</t>
  </si>
  <si>
    <t>14270</t>
  </si>
  <si>
    <t>307858</t>
  </si>
  <si>
    <t>2.4435460567474365</t>
  </si>
  <si>
    <t>3.649327039718628</t>
  </si>
  <si>
    <t>5.49581</t>
  </si>
  <si>
    <t>viscorocks</t>
  </si>
  <si>
    <t>37762</t>
  </si>
  <si>
    <t>1162244</t>
  </si>
  <si>
    <t>3.6853740215301514</t>
  </si>
  <si>
    <t>6.010769844055176</t>
  </si>
  <si>
    <t>3.38125</t>
  </si>
  <si>
    <t>t2dah_a</t>
  </si>
  <si>
    <t>11445</t>
  </si>
  <si>
    <t>176117</t>
  </si>
  <si>
    <t>1.6713110208511353</t>
  </si>
  <si>
    <t>2.0436789989471436</t>
  </si>
  <si>
    <t>3.31981</t>
  </si>
  <si>
    <t>bcsstk32</t>
  </si>
  <si>
    <t>44609</t>
  </si>
  <si>
    <t>2014701</t>
  </si>
  <si>
    <t>8.631667137145996</t>
  </si>
  <si>
    <t>9.967626571655273</t>
  </si>
  <si>
    <t>43.2323</t>
  </si>
  <si>
    <t>g7jac060</t>
  </si>
  <si>
    <t>2.9025259017944336</t>
  </si>
  <si>
    <t>3.7558600902557373</t>
  </si>
  <si>
    <t>12.927</t>
  </si>
  <si>
    <t>TSOPF_RS_b300_c1</t>
  </si>
  <si>
    <t>14538</t>
  </si>
  <si>
    <t>1474325</t>
  </si>
  <si>
    <t>9.047447204589844</t>
  </si>
  <si>
    <t>8.296217918395996</t>
  </si>
  <si>
    <t>60.6474</t>
  </si>
  <si>
    <t>trdheim</t>
  </si>
  <si>
    <t>22098</t>
  </si>
  <si>
    <t>1935324</t>
  </si>
  <si>
    <t>6.600165843963623</t>
  </si>
  <si>
    <t>8.42923355102539</t>
  </si>
  <si>
    <t>22.0529</t>
  </si>
  <si>
    <t>rim</t>
  </si>
  <si>
    <t>22560</t>
  </si>
  <si>
    <t>1014951</t>
  </si>
  <si>
    <t>4.130832195281982</t>
  </si>
  <si>
    <t>6.139340877532959</t>
  </si>
  <si>
    <t>19.6977</t>
  </si>
  <si>
    <t>stokes64</t>
  </si>
  <si>
    <t>12546</t>
  </si>
  <si>
    <t>140034</t>
  </si>
  <si>
    <t>1.5577130317687988</t>
  </si>
  <si>
    <t>2.042854070663452</t>
  </si>
  <si>
    <t>1.49299</t>
  </si>
  <si>
    <t>sit100</t>
  </si>
  <si>
    <t>10262</t>
  </si>
  <si>
    <t>61046</t>
  </si>
  <si>
    <t>1.111685037612915</t>
  </si>
  <si>
    <t>1.4047250747680664</t>
  </si>
  <si>
    <t>1.13254</t>
  </si>
  <si>
    <t>big</t>
  </si>
  <si>
    <t>13209</t>
  </si>
  <si>
    <t>91465</t>
  </si>
  <si>
    <t>1.2077770233154297</t>
  </si>
  <si>
    <t>1.787024974822998</t>
  </si>
  <si>
    <t>1.47456</t>
  </si>
  <si>
    <t>har_10NN</t>
  </si>
  <si>
    <t>10299</t>
  </si>
  <si>
    <t>151736</t>
  </si>
  <si>
    <t>2.0041799545288086</t>
  </si>
  <si>
    <t>3.6217870712280273</t>
  </si>
  <si>
    <t>9.60512</t>
  </si>
  <si>
    <t>Ga3As3H12</t>
  </si>
  <si>
    <t>5970947</t>
  </si>
  <si>
    <t>37.85767364501953</t>
  </si>
  <si>
    <t>50.69772720336914</t>
  </si>
  <si>
    <t>1392.08</t>
  </si>
  <si>
    <t>linverse</t>
  </si>
  <si>
    <t>11999</t>
  </si>
  <si>
    <t>95977</t>
  </si>
  <si>
    <t>1.1680740118026733</t>
  </si>
  <si>
    <t>1.6449310779571533</t>
  </si>
  <si>
    <t>0.622592</t>
  </si>
  <si>
    <t>torso1</t>
  </si>
  <si>
    <t>116158</t>
  </si>
  <si>
    <t>8516500</t>
  </si>
  <si>
    <t>144.15757751464844</t>
  </si>
  <si>
    <t>99.28666687011719</t>
  </si>
  <si>
    <t>7941.81</t>
  </si>
  <si>
    <t>SiO</t>
  </si>
  <si>
    <t>33401</t>
  </si>
  <si>
    <t>1317655</t>
  </si>
  <si>
    <t>8.227343559265137</t>
  </si>
  <si>
    <t>16.2872371673584</t>
  </si>
  <si>
    <t>219.54</t>
  </si>
  <si>
    <t>poisson3Da</t>
  </si>
  <si>
    <t>13514</t>
  </si>
  <si>
    <t>352762</t>
  </si>
  <si>
    <t>3.168713092803955</t>
  </si>
  <si>
    <t>5.58852481842041</t>
  </si>
  <si>
    <t>87.1475</t>
  </si>
  <si>
    <t>t3dh_a</t>
  </si>
  <si>
    <t>79171</t>
  </si>
  <si>
    <t>4352105</t>
  </si>
  <si>
    <t>8.500754356384277</t>
  </si>
  <si>
    <t>21.579837799072266</t>
  </si>
  <si>
    <t>42.7459</t>
  </si>
  <si>
    <t>bcsstk30</t>
  </si>
  <si>
    <t>28924</t>
  </si>
  <si>
    <t>2043492</t>
  </si>
  <si>
    <t>7.54144287109375</t>
  </si>
  <si>
    <t>9.56256103515625</t>
  </si>
  <si>
    <t>43.689</t>
  </si>
  <si>
    <t>ted_A_unscaled</t>
  </si>
  <si>
    <t>4.271824836730957</t>
  </si>
  <si>
    <t>4.117055892944336</t>
  </si>
  <si>
    <t>23.1496</t>
  </si>
  <si>
    <t>Dubcova1</t>
  </si>
  <si>
    <t>16129</t>
  </si>
  <si>
    <t>253009</t>
  </si>
  <si>
    <t>2.09592604637146</t>
  </si>
  <si>
    <t>3.1015419960021973</t>
  </si>
  <si>
    <t>10.2021</t>
  </si>
  <si>
    <t>F2</t>
  </si>
  <si>
    <t>71505</t>
  </si>
  <si>
    <t>5294285</t>
  </si>
  <si>
    <t>13.452896118164062</t>
  </si>
  <si>
    <t>23.863704681396484</t>
  </si>
  <si>
    <t>338.504</t>
  </si>
  <si>
    <t>mycielskian16</t>
  </si>
  <si>
    <t>49151</t>
  </si>
  <si>
    <t>33382480</t>
  </si>
  <si>
    <t>465.5790100097656</t>
  </si>
  <si>
    <t>457.8200988769531</t>
  </si>
  <si>
    <t>583174</t>
  </si>
  <si>
    <t>e40r0100</t>
  </si>
  <si>
    <t>17281</t>
  </si>
  <si>
    <t>553562</t>
  </si>
  <si>
    <t>2.42622709274292</t>
  </si>
  <si>
    <t>3.9667458534240723</t>
  </si>
  <si>
    <t>15.4849</t>
  </si>
  <si>
    <t>xenon1</t>
  </si>
  <si>
    <t>48600</t>
  </si>
  <si>
    <t>1181120</t>
  </si>
  <si>
    <t>7.6870059967041016</t>
  </si>
  <si>
    <t>7.724084854125977</t>
  </si>
  <si>
    <t>7.168</t>
  </si>
  <si>
    <t>EAT_RS</t>
  </si>
  <si>
    <t>325592</t>
  </si>
  <si>
    <t>2.7435619831085205</t>
  </si>
  <si>
    <t>7.0762786865234375</t>
  </si>
  <si>
    <t>96.5898</t>
  </si>
  <si>
    <t>ncvxqp1</t>
  </si>
  <si>
    <t>12111</t>
  </si>
  <si>
    <t>73963</t>
  </si>
  <si>
    <t>1.2618299722671509</t>
  </si>
  <si>
    <t>1.9383450746536255</t>
  </si>
  <si>
    <t>1.3527</t>
  </si>
  <si>
    <t>bcsstk35</t>
  </si>
  <si>
    <t>30237</t>
  </si>
  <si>
    <t>1450163</t>
  </si>
  <si>
    <t>3.3605659008026123</t>
  </si>
  <si>
    <t>7.884021759033203</t>
  </si>
  <si>
    <t>32.6482</t>
  </si>
  <si>
    <t>msc23052</t>
  </si>
  <si>
    <t>23052</t>
  </si>
  <si>
    <t>1154814</t>
  </si>
  <si>
    <t>5.692490100860596</t>
  </si>
  <si>
    <t>7.010181903839111</t>
  </si>
  <si>
    <t>37.0074</t>
  </si>
  <si>
    <t>ship_001</t>
  </si>
  <si>
    <t>34920</t>
  </si>
  <si>
    <t>4644230</t>
  </si>
  <si>
    <t>13.80195426940918</t>
  </si>
  <si>
    <t>18.546236038208008</t>
  </si>
  <si>
    <t>134.946</t>
  </si>
  <si>
    <t>pkustk05</t>
  </si>
  <si>
    <t>37164</t>
  </si>
  <si>
    <t>2205144</t>
  </si>
  <si>
    <t>7.221362113952637</t>
  </si>
  <si>
    <t>11.087538719177246</t>
  </si>
  <si>
    <t>24.8433</t>
  </si>
  <si>
    <t>crplat2</t>
  </si>
  <si>
    <t>18010</t>
  </si>
  <si>
    <t>960946</t>
  </si>
  <si>
    <t>4.002670764923096</t>
  </si>
  <si>
    <t>4.634390354156494</t>
  </si>
  <si>
    <t>9.97786</t>
  </si>
  <si>
    <t>cant</t>
  </si>
  <si>
    <t>62451</t>
  </si>
  <si>
    <t>4007383</t>
  </si>
  <si>
    <t>8.8206787109375</t>
  </si>
  <si>
    <t>15.57597541809082</t>
  </si>
  <si>
    <t>28.0187</t>
  </si>
  <si>
    <t>consph</t>
  </si>
  <si>
    <t>83334</t>
  </si>
  <si>
    <t>6010480</t>
  </si>
  <si>
    <t>11.23685359954834</t>
  </si>
  <si>
    <t>22.339189529418945</t>
  </si>
  <si>
    <t>31.8362</t>
  </si>
  <si>
    <t>k3plates</t>
  </si>
  <si>
    <t>11107</t>
  </si>
  <si>
    <t>378927</t>
  </si>
  <si>
    <t>2.934084892272949</t>
  </si>
  <si>
    <t>3.4258079528808594</t>
  </si>
  <si>
    <t>10.454</t>
  </si>
  <si>
    <t>worms20_10NN</t>
  </si>
  <si>
    <t>20055</t>
  </si>
  <si>
    <t>240826</t>
  </si>
  <si>
    <t>3.687379002571106</t>
  </si>
  <si>
    <t>3.5696098804473877</t>
  </si>
  <si>
    <t>3.8953</t>
  </si>
  <si>
    <t>Goodwin_030</t>
  </si>
  <si>
    <t>10142</t>
  </si>
  <si>
    <t>312814</t>
  </si>
  <si>
    <t>2.4304580688476562</t>
  </si>
  <si>
    <t>3.1919920444488525</t>
  </si>
  <si>
    <t>6.85261</t>
  </si>
  <si>
    <t>bcsstk29</t>
  </si>
  <si>
    <t>13992</t>
  </si>
  <si>
    <t>619488</t>
  </si>
  <si>
    <t>3.6299679279327393</t>
  </si>
  <si>
    <t>4.093338966369629</t>
  </si>
  <si>
    <t>9.74541</t>
  </si>
  <si>
    <t>c-45</t>
  </si>
  <si>
    <t>13206</t>
  </si>
  <si>
    <t>174452</t>
  </si>
  <si>
    <t>51.63843536376953</t>
  </si>
  <si>
    <t>33.03371810913086</t>
  </si>
  <si>
    <t>2426.89</t>
  </si>
  <si>
    <t>Si10H16</t>
  </si>
  <si>
    <t>17077</t>
  </si>
  <si>
    <t>875923</t>
  </si>
  <si>
    <t>8.319124221801758</t>
  </si>
  <si>
    <t>10.722787857055664</t>
  </si>
  <si>
    <t>176.298</t>
  </si>
  <si>
    <t>vibrobox</t>
  </si>
  <si>
    <t>12328</t>
  </si>
  <si>
    <t>342828</t>
  </si>
  <si>
    <t>4.828639984130859</t>
  </si>
  <si>
    <t>5.810612678527832</t>
  </si>
  <si>
    <t>37.4098</t>
  </si>
  <si>
    <t>mycielskian14</t>
  </si>
  <si>
    <t>12287</t>
  </si>
  <si>
    <t>3695512</t>
  </si>
  <si>
    <t>155.44090270996094</t>
  </si>
  <si>
    <t>108.1922836303711</t>
  </si>
  <si>
    <t>35347.7</t>
  </si>
  <si>
    <t>astro-ph</t>
  </si>
  <si>
    <t>16706</t>
  </si>
  <si>
    <t>242502</t>
  </si>
  <si>
    <t>3.3053131103515625</t>
  </si>
  <si>
    <t>3.890637159347534</t>
  </si>
  <si>
    <t>47.5085</t>
  </si>
  <si>
    <t>TSOPF_FS_b300_c2</t>
  </si>
  <si>
    <t>56814</t>
  </si>
  <si>
    <t>8767466</t>
  </si>
  <si>
    <t>836.4484252929688</t>
  </si>
  <si>
    <t>506.2554626464844</t>
  </si>
  <si>
    <t>437819</t>
  </si>
  <si>
    <t>Goodwin_054</t>
  </si>
  <si>
    <t>32510</t>
  </si>
  <si>
    <t>1030878</t>
  </si>
  <si>
    <t>2.5068249702453613</t>
  </si>
  <si>
    <t>4.79297399520874</t>
  </si>
  <si>
    <t>7.3001</t>
  </si>
  <si>
    <t>t3dh_e</t>
  </si>
  <si>
    <t>8.563556671142578</t>
  </si>
  <si>
    <t>22.260181427001953</t>
  </si>
  <si>
    <t>42.5595</t>
  </si>
  <si>
    <t>srb1</t>
  </si>
  <si>
    <t>54924</t>
  </si>
  <si>
    <t>2962152</t>
  </si>
  <si>
    <t>10.931340217590332</t>
  </si>
  <si>
    <t>14.356903076171875</t>
  </si>
  <si>
    <t>67.0054</t>
  </si>
  <si>
    <t>t2dah_e</t>
  </si>
  <si>
    <t>1.7816109657287598</t>
  </si>
  <si>
    <t>2.070107936859131</t>
  </si>
  <si>
    <t>3.3024</t>
  </si>
  <si>
    <t>bcsstm36</t>
  </si>
  <si>
    <t>320606</t>
  </si>
  <si>
    <t>2.491929054260254</t>
  </si>
  <si>
    <t>3.5800509452819824</t>
  </si>
  <si>
    <t>6.44301</t>
  </si>
  <si>
    <t>bcsstk17</t>
  </si>
  <si>
    <t>10974</t>
  </si>
  <si>
    <t>428650</t>
  </si>
  <si>
    <t>3.9738500118255615</t>
  </si>
  <si>
    <t>4.4669060707092285</t>
  </si>
  <si>
    <t>13.3304</t>
  </si>
  <si>
    <t>TSOPF_FS_b162_c1</t>
  </si>
  <si>
    <t>10798</t>
  </si>
  <si>
    <t>608540</t>
  </si>
  <si>
    <t>170.80880737304688</t>
  </si>
  <si>
    <t>111.62663269042969</t>
  </si>
  <si>
    <t>7211.93</t>
  </si>
  <si>
    <t>t3dh</t>
  </si>
  <si>
    <t>8.761173248291016</t>
  </si>
  <si>
    <t>22.767017364501953</t>
  </si>
  <si>
    <t>42.7213</t>
  </si>
  <si>
    <t>opt1</t>
  </si>
  <si>
    <t>15449</t>
  </si>
  <si>
    <t>1930655</t>
  </si>
  <si>
    <t>8.518468856811523</t>
  </si>
  <si>
    <t>10.022669792175293</t>
  </si>
  <si>
    <t>107.409</t>
  </si>
  <si>
    <t>inlet</t>
  </si>
  <si>
    <t>11730</t>
  </si>
  <si>
    <t>328323</t>
  </si>
  <si>
    <t>2.3583428859710693</t>
  </si>
  <si>
    <t>3.218630075454712</t>
  </si>
  <si>
    <t>5.9433</t>
  </si>
  <si>
    <t>invextr1_new</t>
  </si>
  <si>
    <t>30412</t>
  </si>
  <si>
    <t>1793881</t>
  </si>
  <si>
    <t>9.363638877868652</t>
  </si>
  <si>
    <t>13.97481918334961</t>
  </si>
  <si>
    <t>109.686</t>
  </si>
  <si>
    <t>Pres_Poisson</t>
  </si>
  <si>
    <t>14822</t>
  </si>
  <si>
    <t>715804</t>
  </si>
  <si>
    <t>3.363568067550659</t>
  </si>
  <si>
    <t>4.672187805175781</t>
  </si>
  <si>
    <t>14.206</t>
  </si>
  <si>
    <t>pkustk14</t>
  </si>
  <si>
    <t>151926</t>
  </si>
  <si>
    <t>14836504</t>
  </si>
  <si>
    <t>26.66750717163086</t>
  </si>
  <si>
    <t>63.24072265625</t>
  </si>
  <si>
    <t>264.199</t>
  </si>
  <si>
    <t>hangGlider_3</t>
  </si>
  <si>
    <t>10260</t>
  </si>
  <si>
    <t>92703</t>
  </si>
  <si>
    <t>15.105324745178223</t>
  </si>
  <si>
    <t>27.83890724182129</t>
  </si>
  <si>
    <t>2773.07</t>
  </si>
  <si>
    <t>rma10</t>
  </si>
  <si>
    <t>46835</t>
  </si>
  <si>
    <t>2374001</t>
  </si>
  <si>
    <t>4.782595157623291</t>
  </si>
  <si>
    <t>12.230986595153809</t>
  </si>
  <si>
    <t>38.4399</t>
  </si>
  <si>
    <t>Si5H12</t>
  </si>
  <si>
    <t>19896</t>
  </si>
  <si>
    <t>738598</t>
  </si>
  <si>
    <t>4.857457160949707</t>
  </si>
  <si>
    <t>11.413065910339355</t>
  </si>
  <si>
    <t>97.2052</t>
  </si>
  <si>
    <t>TSOPF_FS_b39_c7</t>
  </si>
  <si>
    <t>28216</t>
  </si>
  <si>
    <t>730080</t>
  </si>
  <si>
    <t>302.4667663574219</t>
  </si>
  <si>
    <t>208.9193572998047</t>
  </si>
  <si>
    <t>54694</t>
  </si>
  <si>
    <t>lhr34c</t>
  </si>
  <si>
    <t>35152</t>
  </si>
  <si>
    <t>764014</t>
  </si>
  <si>
    <t>5.6661760807037354</t>
  </si>
  <si>
    <t>4.4737396240234375</t>
  </si>
  <si>
    <t>5.55725</t>
  </si>
  <si>
    <t>Zd_Jac2_db</t>
  </si>
  <si>
    <t>22835</t>
  </si>
  <si>
    <t>676439</t>
  </si>
  <si>
    <t>5.22699499130249</t>
  </si>
  <si>
    <t>8.650346755981445</t>
  </si>
  <si>
    <t>107.811</t>
  </si>
  <si>
    <t>vanbody</t>
  </si>
  <si>
    <t>47072</t>
  </si>
  <si>
    <t>2336898</t>
  </si>
  <si>
    <t>4.565206050872803</t>
  </si>
  <si>
    <t>12.305864334106445</t>
  </si>
  <si>
    <t>46.0216</t>
  </si>
  <si>
    <t>pdb1HYS</t>
  </si>
  <si>
    <t>36417</t>
  </si>
  <si>
    <t>4344765</t>
  </si>
  <si>
    <t>10.49323844909668</t>
  </si>
  <si>
    <t>17.71476936340332</t>
  </si>
  <si>
    <t>89.2109</t>
  </si>
  <si>
    <t>TSOPF_FS_b162_c3</t>
  </si>
  <si>
    <t>30798</t>
  </si>
  <si>
    <t>1801300</t>
  </si>
  <si>
    <t>447.7619323730469</t>
  </si>
  <si>
    <t>296.130126953125</t>
  </si>
  <si>
    <t>70421.9</t>
  </si>
  <si>
    <t>TSOPF_RS_b678_c2</t>
  </si>
  <si>
    <t>35696</t>
  </si>
  <si>
    <t>8781949</t>
  </si>
  <si>
    <t>25.217683792114258</t>
  </si>
  <si>
    <t>33.05097198486328</t>
  </si>
  <si>
    <t>304.54</t>
  </si>
  <si>
    <t>vsp_c-30_data_data</t>
  </si>
  <si>
    <t>11023</t>
  </si>
  <si>
    <t>124368</t>
  </si>
  <si>
    <t>46.0223388671875</t>
  </si>
  <si>
    <t>27.340463638305664</t>
  </si>
  <si>
    <t>1558.27</t>
  </si>
  <si>
    <t>pkustk10</t>
  </si>
  <si>
    <t>80676</t>
  </si>
  <si>
    <t>4308984</t>
  </si>
  <si>
    <t>9.271591186523438</t>
  </si>
  <si>
    <t>15.31142520904541</t>
  </si>
  <si>
    <t>14.2295</t>
  </si>
  <si>
    <t>2D_27628_bjtcai</t>
  </si>
  <si>
    <t>27628</t>
  </si>
  <si>
    <t>442898</t>
  </si>
  <si>
    <t>4.583158016204834</t>
  </si>
  <si>
    <t>4.337224006652832</t>
  </si>
  <si>
    <t>5.18963</t>
  </si>
  <si>
    <t>hangGlider_4</t>
  </si>
  <si>
    <t>15561</t>
  </si>
  <si>
    <t>149532</t>
  </si>
  <si>
    <t>39.42012023925781</t>
  </si>
  <si>
    <t>42.66371536254883</t>
  </si>
  <si>
    <t>6358.74</t>
  </si>
  <si>
    <t>net50</t>
  </si>
  <si>
    <t>16320</t>
  </si>
  <si>
    <t>945200</t>
  </si>
  <si>
    <t>6.946165084838867</t>
  </si>
  <si>
    <t>8.714040756225586</t>
  </si>
  <si>
    <t>71.9442</t>
  </si>
  <si>
    <t>gupta1</t>
  </si>
  <si>
    <t>31802</t>
  </si>
  <si>
    <t>2164210</t>
  </si>
  <si>
    <t>246.36843872070312</t>
  </si>
  <si>
    <t>160.4855499267578</t>
  </si>
  <si>
    <t>42395.2</t>
  </si>
  <si>
    <t>vsp_p0291_seymourl_iiasa</t>
  </si>
  <si>
    <t>10498</t>
  </si>
  <si>
    <t>107736</t>
  </si>
  <si>
    <t>3.144318103790283</t>
  </si>
  <si>
    <t>2.8744699954986572</t>
  </si>
  <si>
    <t>102.894</t>
  </si>
  <si>
    <t>wiki-RfA</t>
  </si>
  <si>
    <t>11380</t>
  </si>
  <si>
    <t>188077</t>
  </si>
  <si>
    <t>3.5081560611724854</t>
  </si>
  <si>
    <t>4.790951728820801</t>
  </si>
  <si>
    <t>163.232</t>
  </si>
  <si>
    <t>thread</t>
  </si>
  <si>
    <t>29736</t>
  </si>
  <si>
    <t>4470048</t>
  </si>
  <si>
    <t>11.980910301208496</t>
  </si>
  <si>
    <t>19.685956954956055</t>
  </si>
  <si>
    <t>144.279</t>
  </si>
  <si>
    <t>Zd_Jac3_db</t>
  </si>
  <si>
    <t>713907</t>
  </si>
  <si>
    <t>8.710142135620117</t>
  </si>
  <si>
    <t>7.8880462646484375</t>
  </si>
  <si>
    <t>103.199</t>
  </si>
  <si>
    <t>vsp_msc10848_300sep_100in_1Kout</t>
  </si>
  <si>
    <t>21996</t>
  </si>
  <si>
    <t>2442056</t>
  </si>
  <si>
    <t>9.286924362182617</t>
  </si>
  <si>
    <t>28.141338348388672</t>
  </si>
  <si>
    <t>353.107</t>
  </si>
  <si>
    <t>Reuters911</t>
  </si>
  <si>
    <t>13332</t>
  </si>
  <si>
    <t>296076</t>
  </si>
  <si>
    <t>7.60118293762207</t>
  </si>
  <si>
    <t>10.543636322021484</t>
  </si>
  <si>
    <t>332.123</t>
  </si>
  <si>
    <t>lhr34</t>
  </si>
  <si>
    <t>5.035693883895874</t>
  </si>
  <si>
    <t>5.108299255371094</t>
  </si>
  <si>
    <t>5.5767</t>
  </si>
  <si>
    <t>gyro</t>
  </si>
  <si>
    <t>17361</t>
  </si>
  <si>
    <t>1021159</t>
  </si>
  <si>
    <t>6.031676769256592</t>
  </si>
  <si>
    <t>7.288124084472656</t>
  </si>
  <si>
    <t>84.3254</t>
  </si>
  <si>
    <t>lhr11</t>
  </si>
  <si>
    <t>10964</t>
  </si>
  <si>
    <t>233741</t>
  </si>
  <si>
    <t>2.626504898071289</t>
  </si>
  <si>
    <t>2.7017431259155273</t>
  </si>
  <si>
    <t>5.44973</t>
  </si>
  <si>
    <t>Ge99H100</t>
  </si>
  <si>
    <t>112985</t>
  </si>
  <si>
    <t>8451395</t>
  </si>
  <si>
    <t>21.667234420776367</t>
  </si>
  <si>
    <t>55.64883804321289</t>
  </si>
  <si>
    <t>337.917</t>
  </si>
  <si>
    <t>airfoil_2d</t>
  </si>
  <si>
    <t>14214</t>
  </si>
  <si>
    <t>259688</t>
  </si>
  <si>
    <t>1.8060990571975708</t>
  </si>
  <si>
    <t>3.87673282623291</t>
  </si>
  <si>
    <t>8.09472</t>
  </si>
  <si>
    <t>Trefethen_20000b</t>
  </si>
  <si>
    <t>19999</t>
  </si>
  <si>
    <t>554435</t>
  </si>
  <si>
    <t>6.3423709869384766</t>
  </si>
  <si>
    <t>5.834496974945068</t>
  </si>
  <si>
    <t>8.31283</t>
  </si>
  <si>
    <t>crystk02</t>
  </si>
  <si>
    <t>968583</t>
  </si>
  <si>
    <t>3.6609339714050293</t>
  </si>
  <si>
    <t>5.33052396774292</t>
  </si>
  <si>
    <t>23.3155</t>
  </si>
  <si>
    <t>crankseg_1</t>
  </si>
  <si>
    <t>52804</t>
  </si>
  <si>
    <t>10614210</t>
  </si>
  <si>
    <t>43.817203521728516</t>
  </si>
  <si>
    <t>45.13669204711914</t>
  </si>
  <si>
    <t>2364.03</t>
  </si>
  <si>
    <t>lowThrust_8</t>
  </si>
  <si>
    <t>17702</t>
  </si>
  <si>
    <t>216445</t>
  </si>
  <si>
    <t>30.854778289794922</t>
  </si>
  <si>
    <t>40.819671630859375</t>
  </si>
  <si>
    <t>3279.62</t>
  </si>
  <si>
    <t>TSOPF_FS_b300_c3</t>
  </si>
  <si>
    <t>84414</t>
  </si>
  <si>
    <t>13135930</t>
  </si>
  <si>
    <t>1243.0679931640625</t>
  </si>
  <si>
    <t>694.6322631835938</t>
  </si>
  <si>
    <t>892592</t>
  </si>
  <si>
    <t>lhr11c</t>
  </si>
  <si>
    <t>1.87472403049469</t>
  </si>
  <si>
    <t>2.4061119556427</t>
  </si>
  <si>
    <t>5.4528</t>
  </si>
  <si>
    <t>shuttle_eddy_id_763</t>
  </si>
  <si>
    <t>1.1945090293884277</t>
  </si>
  <si>
    <t>1.5426350831985474</t>
  </si>
  <si>
    <t>2.64192</t>
  </si>
  <si>
    <t>Trefethen_20000</t>
  </si>
  <si>
    <t>20000</t>
  </si>
  <si>
    <t>554466</t>
  </si>
  <si>
    <t>6.9742180109024048</t>
  </si>
  <si>
    <t>5.79515266418457</t>
  </si>
  <si>
    <t>8.28928</t>
  </si>
  <si>
    <t>Zd_Jac2</t>
  </si>
  <si>
    <t>1642833</t>
  </si>
  <si>
    <t>14.469832420349121</t>
  </si>
  <si>
    <t>22.49932861328125</t>
  </si>
  <si>
    <t>470.865</t>
  </si>
  <si>
    <t>lhr17</t>
  </si>
  <si>
    <t>17576</t>
  </si>
  <si>
    <t>381975</t>
  </si>
  <si>
    <t>2.8995940685272217</t>
  </si>
  <si>
    <t>3.5500218868255615</t>
  </si>
  <si>
    <t>5.51936</t>
  </si>
  <si>
    <t>TSOPF_RS_b300_c3</t>
  </si>
  <si>
    <t>42138</t>
  </si>
  <si>
    <t>4413449</t>
  </si>
  <si>
    <t>11.469548225402832</t>
  </si>
  <si>
    <t>16.18086051940918</t>
  </si>
  <si>
    <t>73.3143</t>
  </si>
  <si>
    <t>tube2</t>
  </si>
  <si>
    <t>3.337531089782715</t>
  </si>
  <si>
    <t>4.653357028961182</t>
  </si>
  <si>
    <t>8.57805</t>
  </si>
  <si>
    <t>vsp_befref_fxm_2_4_air02</t>
  </si>
  <si>
    <t>14109</t>
  </si>
  <si>
    <t>196448</t>
  </si>
  <si>
    <t>54.918601989746094</t>
  </si>
  <si>
    <t>32.0266227722168</t>
  </si>
  <si>
    <t>4240.21</t>
  </si>
  <si>
    <t>std1_Jac2</t>
  </si>
  <si>
    <t>1248731</t>
  </si>
  <si>
    <t>23.57952308654785</t>
  </si>
  <si>
    <t>19.81461524963379</t>
  </si>
  <si>
    <t>472.34</t>
  </si>
  <si>
    <t>sme3Dc</t>
  </si>
  <si>
    <t>42930</t>
  </si>
  <si>
    <t>3148656</t>
  </si>
  <si>
    <t>13.864006042480469</t>
  </si>
  <si>
    <t>33.782386779785156</t>
  </si>
  <si>
    <t>668.87</t>
  </si>
  <si>
    <t>wathen100</t>
  </si>
  <si>
    <t>30401</t>
  </si>
  <si>
    <t>471601</t>
  </si>
  <si>
    <t>2.2106640338897705</t>
  </si>
  <si>
    <t>4.411098003387451</t>
  </si>
  <si>
    <t>1.74797</t>
  </si>
  <si>
    <t>crankseg_2</t>
  </si>
  <si>
    <t>63838</t>
  </si>
  <si>
    <t>14148858</t>
  </si>
  <si>
    <t>54.717464447021484</t>
  </si>
  <si>
    <t>65.45218658447266</t>
  </si>
  <si>
    <t>3524.15</t>
  </si>
  <si>
    <t>CurlCurl_0</t>
  </si>
  <si>
    <t>11083</t>
  </si>
  <si>
    <t>113343</t>
  </si>
  <si>
    <t>1.593526005744934</t>
  </si>
  <si>
    <t>1.7921340465545654</t>
  </si>
  <si>
    <t>1.69472</t>
  </si>
  <si>
    <t>net125</t>
  </si>
  <si>
    <t>36720</t>
  </si>
  <si>
    <t>2577200</t>
  </si>
  <si>
    <t>11.997036933898926</t>
  </si>
  <si>
    <t>23.183124542236328</t>
  </si>
  <si>
    <t>327.849</t>
  </si>
  <si>
    <t>mycielskian15</t>
  </si>
  <si>
    <t>24575</t>
  </si>
  <si>
    <t>11111110</t>
  </si>
  <si>
    <t>256.68267822265625</t>
  </si>
  <si>
    <t>224.03018188476562</t>
  </si>
  <si>
    <t>144410</t>
  </si>
  <si>
    <t>c-46</t>
  </si>
  <si>
    <t>14913</t>
  </si>
  <si>
    <t>130397</t>
  </si>
  <si>
    <t>13.447175979614258</t>
  </si>
  <si>
    <t>8.280649185180664</t>
  </si>
  <si>
    <t>941.991</t>
  </si>
  <si>
    <t>net150</t>
  </si>
  <si>
    <t>43520</t>
  </si>
  <si>
    <t>3121200</t>
  </si>
  <si>
    <t>9.14510726928711</t>
  </si>
  <si>
    <t>26.64289093017578</t>
  </si>
  <si>
    <t>418.688</t>
  </si>
  <si>
    <t>mouse_gene</t>
  </si>
  <si>
    <t>45101</t>
  </si>
  <si>
    <t>28967291</t>
  </si>
  <si>
    <t>111.19013977050781</t>
  </si>
  <si>
    <t>296.4577941894531</t>
  </si>
  <si>
    <t>30998.8</t>
  </si>
  <si>
    <t>water_tank</t>
  </si>
  <si>
    <t>60740</t>
  </si>
  <si>
    <t>2035281</t>
  </si>
  <si>
    <t>3.5870420932769775</t>
  </si>
  <si>
    <t>12.830342292785645</t>
  </si>
  <si>
    <t>18.1064</t>
  </si>
  <si>
    <t>pli</t>
  </si>
  <si>
    <t>3.2041289806365967</t>
  </si>
  <si>
    <t>7.8352532386779785</t>
  </si>
  <si>
    <t>46.9494</t>
  </si>
  <si>
    <t>nmos3</t>
  </si>
  <si>
    <t>18588</t>
  </si>
  <si>
    <t>386594</t>
  </si>
  <si>
    <t>1.713212013244629</t>
  </si>
  <si>
    <t>4.524609088897705</t>
  </si>
  <si>
    <t>10.0065</t>
  </si>
  <si>
    <t>bcsstk31</t>
  </si>
  <si>
    <t>35588</t>
  </si>
  <si>
    <t>1181416</t>
  </si>
  <si>
    <t>4.5006327629089355</t>
  </si>
  <si>
    <t>8.072422981262207</t>
  </si>
  <si>
    <t>20.3756</t>
  </si>
  <si>
    <t>Zd_Jac6_db</t>
  </si>
  <si>
    <t>663643</t>
  </si>
  <si>
    <t>8.694795608520508</t>
  </si>
  <si>
    <t>8.038098335266113</t>
  </si>
  <si>
    <t>101.374</t>
  </si>
  <si>
    <t>pcrystk02</t>
  </si>
  <si>
    <t>4.634292125701904</t>
  </si>
  <si>
    <t>5.191247940063477</t>
  </si>
  <si>
    <t>23.2509</t>
  </si>
  <si>
    <t>case9</t>
  </si>
  <si>
    <t>14454</t>
  </si>
  <si>
    <t>147972</t>
  </si>
  <si>
    <t>57.6161003112793</t>
  </si>
  <si>
    <t>62.099910736083984</t>
  </si>
  <si>
    <t>5821.26</t>
  </si>
  <si>
    <t>garon2</t>
  </si>
  <si>
    <t>13535</t>
  </si>
  <si>
    <t>390607</t>
  </si>
  <si>
    <t>2.957447052001953</t>
  </si>
  <si>
    <t>4.302130222320557</t>
  </si>
  <si>
    <t>19.4161</t>
  </si>
  <si>
    <t>copter1</t>
  </si>
  <si>
    <t>17222</t>
  </si>
  <si>
    <t>211064</t>
  </si>
  <si>
    <t>1.613031029701233</t>
  </si>
  <si>
    <t>2.7704930305480957</t>
  </si>
  <si>
    <t>2.12275</t>
  </si>
  <si>
    <t>TSOPF_FS_b9_c6</t>
  </si>
  <si>
    <t>57.65117645263672</t>
  </si>
  <si>
    <t>62.11737823486328</t>
  </si>
  <si>
    <t>5796.97</t>
  </si>
  <si>
    <t>bundle1</t>
  </si>
  <si>
    <t>10581</t>
  </si>
  <si>
    <t>770901</t>
  </si>
  <si>
    <t>62.423885345458984</t>
  </si>
  <si>
    <t>35.49009704589844</t>
  </si>
  <si>
    <t>2176.24</t>
  </si>
  <si>
    <t>gupta3</t>
  </si>
  <si>
    <t>16783</t>
  </si>
  <si>
    <t>9323427</t>
  </si>
  <si>
    <t>366.5023498535156</t>
  </si>
  <si>
    <t>274.2046203613281</t>
  </si>
  <si>
    <t>128683</t>
  </si>
  <si>
    <t>net100</t>
  </si>
  <si>
    <t>29920</t>
  </si>
  <si>
    <t>2033200</t>
  </si>
  <si>
    <t>6.418044090270996</t>
  </si>
  <si>
    <t>16.582063674926758</t>
  </si>
  <si>
    <t>241.27</t>
  </si>
  <si>
    <t>ex35</t>
  </si>
  <si>
    <t>19716</t>
  </si>
  <si>
    <t>228208</t>
  </si>
  <si>
    <t>2.2710089683532715</t>
  </si>
  <si>
    <t>2.898494005203247</t>
  </si>
  <si>
    <t>2.28966</t>
  </si>
  <si>
    <t>stokes64s</t>
  </si>
  <si>
    <t>2.6218369007110596</t>
  </si>
  <si>
    <t>2.195531129837036</t>
  </si>
  <si>
    <t>1.49094</t>
  </si>
  <si>
    <t>t3dl_a</t>
  </si>
  <si>
    <t>20360</t>
  </si>
  <si>
    <t>509866</t>
  </si>
  <si>
    <t>1.9510120153427124</t>
  </si>
  <si>
    <t>4.485694408416748</t>
  </si>
  <si>
    <t>12.0832</t>
  </si>
  <si>
    <t>case39</t>
  </si>
  <si>
    <t>40216</t>
  </si>
  <si>
    <t>1042160</t>
  </si>
  <si>
    <t>383.6714172363281</t>
  </si>
  <si>
    <t>279.0259704589844</t>
  </si>
  <si>
    <t>111087</t>
  </si>
  <si>
    <t>Goodwin_040</t>
  </si>
  <si>
    <t>17922</t>
  </si>
  <si>
    <t>561677</t>
  </si>
  <si>
    <t>2.1249639987945557</t>
  </si>
  <si>
    <t>3.3761301040649414</t>
  </si>
  <si>
    <t>7.03795</t>
  </si>
  <si>
    <t>std1_Jac2_db</t>
  </si>
  <si>
    <t>498771</t>
  </si>
  <si>
    <t>4.7403340339660645</t>
  </si>
  <si>
    <t>5.0853271484375</t>
  </si>
  <si>
    <t>84.7872</t>
  </si>
  <si>
    <t>bayer10</t>
  </si>
  <si>
    <t>13436</t>
  </si>
  <si>
    <t>94926</t>
  </si>
  <si>
    <t>2.2999509572982788</t>
  </si>
  <si>
    <t>2.12615704536438</t>
  </si>
  <si>
    <t>2.08077</t>
  </si>
  <si>
    <t>lowThrust_10</t>
  </si>
  <si>
    <t>18260</t>
  </si>
  <si>
    <t>222005</t>
  </si>
  <si>
    <t>21.24738121032715</t>
  </si>
  <si>
    <t>41.83134841918945</t>
  </si>
  <si>
    <t>3492.6</t>
  </si>
  <si>
    <t>bcsstk39</t>
  </si>
  <si>
    <t>46772</t>
  </si>
  <si>
    <t>2089294</t>
  </si>
  <si>
    <t>10.3912339210510254</t>
  </si>
  <si>
    <t>9.803057670593262</t>
  </si>
  <si>
    <t>11.9849</t>
  </si>
  <si>
    <t>t3dl</t>
  </si>
  <si>
    <t>2.492840051651001</t>
  </si>
  <si>
    <t>4.55007791519165</t>
  </si>
  <si>
    <t>12.0566</t>
  </si>
  <si>
    <t>vsp_bcsstk30_500sep_10in_1Kout</t>
  </si>
  <si>
    <t>58348</t>
  </si>
  <si>
    <t>4033156</t>
  </si>
  <si>
    <t>10.091769218444824</t>
  </si>
  <si>
    <t>40.681270599365234</t>
  </si>
  <si>
    <t>138.814</t>
  </si>
  <si>
    <t>raefsky4</t>
  </si>
  <si>
    <t>19779</t>
  </si>
  <si>
    <t>1328611</t>
  </si>
  <si>
    <t>5.610039234161377</t>
  </si>
  <si>
    <t>7.454614162445068</t>
  </si>
  <si>
    <t>33.7213</t>
  </si>
  <si>
    <t>pkustk08</t>
  </si>
  <si>
    <t>22209</t>
  </si>
  <si>
    <t>3226671</t>
  </si>
  <si>
    <t>10.965197563171387</t>
  </si>
  <si>
    <t>18.308422088623047</t>
  </si>
  <si>
    <t>318.095</t>
  </si>
  <si>
    <t>skirt_id_882</t>
  </si>
  <si>
    <t>12598</t>
  </si>
  <si>
    <t>196520</t>
  </si>
  <si>
    <t>2.1278231143951416</t>
  </si>
  <si>
    <t>2.6107871532440186</t>
  </si>
  <si>
    <t>ex3sta1_id_1379</t>
  </si>
  <si>
    <t>16782</t>
  </si>
  <si>
    <t>678998</t>
  </si>
  <si>
    <t>11.54273509979248</t>
  </si>
  <si>
    <t>15.661368370056152</t>
  </si>
  <si>
    <t>269.082</t>
  </si>
  <si>
    <t>gupta2</t>
  </si>
  <si>
    <t>62064</t>
  </si>
  <si>
    <t>4248286</t>
  </si>
  <si>
    <t>207.95013427734375</t>
  </si>
  <si>
    <t>165.53372192382812</t>
  </si>
  <si>
    <t>42576.6</t>
  </si>
  <si>
    <t>net75</t>
  </si>
  <si>
    <t>23120</t>
  </si>
  <si>
    <t>1489200</t>
  </si>
  <si>
    <t>4.82056999206543</t>
  </si>
  <si>
    <t>11.345873832702637</t>
  </si>
  <si>
    <t>118.786</t>
  </si>
  <si>
    <t>lowThrust_12</t>
  </si>
  <si>
    <t>18458</t>
  </si>
  <si>
    <t>224593</t>
  </si>
  <si>
    <t>21.56321144104004</t>
  </si>
  <si>
    <t>42.6205940246582</t>
  </si>
  <si>
    <t>3540.83</t>
  </si>
  <si>
    <t>OPF_3754</t>
  </si>
  <si>
    <t>15435</t>
  </si>
  <si>
    <t>158273</t>
  </si>
  <si>
    <t>2.881791114807129</t>
  </si>
  <si>
    <t>2.5762951374053955</t>
  </si>
  <si>
    <t>4.10419</t>
  </si>
  <si>
    <t>TSOPF_RS_b300_c2</t>
  </si>
  <si>
    <t>28338</t>
  </si>
  <si>
    <t>2943887</t>
  </si>
  <si>
    <t>10.130766868591309</t>
  </si>
  <si>
    <t>14.51770305633545</t>
  </si>
  <si>
    <t>67.243</t>
  </si>
  <si>
    <t>Chebyshev4</t>
  </si>
  <si>
    <t>68121</t>
  </si>
  <si>
    <t>5377761</t>
  </si>
  <si>
    <t>585.2300415039062</t>
  </si>
  <si>
    <t>639.0838012695312</t>
  </si>
  <si>
    <t>870833</t>
  </si>
  <si>
    <t>pds10</t>
  </si>
  <si>
    <t>16558</t>
  </si>
  <si>
    <t>149658</t>
  </si>
  <si>
    <t>1.536728024482727</t>
  </si>
  <si>
    <t>3.2801010608673096</t>
  </si>
  <si>
    <t>9.77306</t>
  </si>
  <si>
    <t>pkustk03</t>
  </si>
  <si>
    <t>63336</t>
  </si>
  <si>
    <t>3130416</t>
  </si>
  <si>
    <t>4.7672247886657715</t>
  </si>
  <si>
    <t>11.971174240112305</t>
  </si>
  <si>
    <t>17.0445</t>
  </si>
  <si>
    <t>lhr10c</t>
  </si>
  <si>
    <t>10672</t>
  </si>
  <si>
    <t>232633</t>
  </si>
  <si>
    <t>1.6413719654083252</t>
  </si>
  <si>
    <t>2.9654858112335205</t>
  </si>
  <si>
    <t>6.80346</t>
  </si>
  <si>
    <t>mip1</t>
  </si>
  <si>
    <t>66463</t>
  </si>
  <si>
    <t>10352819</t>
  </si>
  <si>
    <t>299.28436279296875</t>
  </si>
  <si>
    <t>255.026611328125</t>
  </si>
  <si>
    <t>359462</t>
  </si>
  <si>
    <t>c-44</t>
  </si>
  <si>
    <t>10728</t>
  </si>
  <si>
    <t>85000</t>
  </si>
  <si>
    <t>2.168126106262207</t>
  </si>
  <si>
    <t>2.509006977081299</t>
  </si>
  <si>
    <t>31.3569</t>
  </si>
  <si>
    <t>t2dah</t>
  </si>
  <si>
    <t>1.3168330192565918</t>
  </si>
  <si>
    <t>1.8465180397033691</t>
  </si>
  <si>
    <t>3.31674</t>
  </si>
  <si>
    <t>pesa</t>
  </si>
  <si>
    <t>11738</t>
  </si>
  <si>
    <t>79566</t>
  </si>
  <si>
    <t>1.0146479606628418</t>
  </si>
  <si>
    <t>1.5420629978179932</t>
  </si>
  <si>
    <t>1.2841</t>
  </si>
  <si>
    <t>nasasrb</t>
  </si>
  <si>
    <t>54870</t>
  </si>
  <si>
    <t>2677324</t>
  </si>
  <si>
    <t>4.976325988769531</t>
  </si>
  <si>
    <t>14.335135459899902</t>
  </si>
  <si>
    <t>37.0964</t>
  </si>
  <si>
    <t>cbuckle</t>
  </si>
  <si>
    <t>13681</t>
  </si>
  <si>
    <t>676515</t>
  </si>
  <si>
    <t>2.344635009765625</t>
  </si>
  <si>
    <t>4.581942081451416</t>
  </si>
  <si>
    <t>7.52538</t>
  </si>
  <si>
    <t>pkustk01</t>
  </si>
  <si>
    <t>22044</t>
  </si>
  <si>
    <t>979380</t>
  </si>
  <si>
    <t>5.050858974456787</t>
  </si>
  <si>
    <t>6.157883167266846</t>
  </si>
  <si>
    <t>26.6557</t>
  </si>
  <si>
    <t>g7jac080sc</t>
  </si>
  <si>
    <t>23670</t>
  </si>
  <si>
    <t>293976</t>
  </si>
  <si>
    <t>3.1775729656219482</t>
  </si>
  <si>
    <t>4.465091228485107</t>
  </si>
  <si>
    <t>13.7083</t>
  </si>
  <si>
    <t>c-43</t>
  </si>
  <si>
    <t>11125</t>
  </si>
  <si>
    <t>123675</t>
  </si>
  <si>
    <t>31.18477439880371</t>
  </si>
  <si>
    <t>31.0664119720459</t>
  </si>
  <si>
    <t>1904.69</t>
  </si>
  <si>
    <t>ship_003</t>
  </si>
  <si>
    <t>121728</t>
  </si>
  <si>
    <t>8086034</t>
  </si>
  <si>
    <t>14.576298713684082</t>
  </si>
  <si>
    <t>35.904239654541016</t>
  </si>
  <si>
    <t>50.5446</t>
  </si>
  <si>
    <t>Ga19As19H42</t>
  </si>
  <si>
    <t>133123</t>
  </si>
  <si>
    <t>8884839</t>
  </si>
  <si>
    <t>23.719947814941406</t>
  </si>
  <si>
    <t>60.63599395751953</t>
  </si>
  <si>
    <t>370.158</t>
  </si>
  <si>
    <t>crystk03</t>
  </si>
  <si>
    <t>24696</t>
  </si>
  <si>
    <t>1751178</t>
  </si>
  <si>
    <t>5.097229957580566</t>
  </si>
  <si>
    <t>8.10328197479248</t>
  </si>
  <si>
    <t>24.3057</t>
  </si>
  <si>
    <t>TSOPF_RS_b162_c3</t>
  </si>
  <si>
    <t>15374</t>
  </si>
  <si>
    <t>610299</t>
  </si>
  <si>
    <t>3.8658509254455566</t>
  </si>
  <si>
    <t>4.488700866699219</t>
  </si>
  <si>
    <t>12.6956</t>
  </si>
  <si>
    <t>cage10</t>
  </si>
  <si>
    <t>11397</t>
  </si>
  <si>
    <t>150645</t>
  </si>
  <si>
    <t>2.0251049995422363</t>
  </si>
  <si>
    <t>3.525540828704834</t>
  </si>
  <si>
    <t>6.2464</t>
  </si>
  <si>
    <t>lowThrust_4</t>
  </si>
  <si>
    <t>13562</t>
  </si>
  <si>
    <t>160947</t>
  </si>
  <si>
    <t>28.45443344116211</t>
  </si>
  <si>
    <t>30.92437744140625</t>
  </si>
  <si>
    <t>1945.17</t>
  </si>
  <si>
    <t>ca-HepPh</t>
  </si>
  <si>
    <t>12008</t>
  </si>
  <si>
    <t>237010</t>
  </si>
  <si>
    <t>4.778841018676758</t>
  </si>
  <si>
    <t>6.446279048919678</t>
  </si>
  <si>
    <t>87.3339</t>
  </si>
  <si>
    <t>pkustk13</t>
  </si>
  <si>
    <t>94893</t>
  </si>
  <si>
    <t>6616827</t>
  </si>
  <si>
    <t>15.112860679626465</t>
  </si>
  <si>
    <t>29.950475692749023</t>
  </si>
  <si>
    <t>122.626</t>
  </si>
  <si>
    <t>pkustk11</t>
  </si>
  <si>
    <t>87804</t>
  </si>
  <si>
    <t>5217912</t>
  </si>
  <si>
    <t>11.50026798248291</t>
  </si>
  <si>
    <t>21.586206436157227</t>
  </si>
  <si>
    <t>27.3203</t>
  </si>
  <si>
    <t>chipcool0</t>
  </si>
  <si>
    <t>20082</t>
  </si>
  <si>
    <t>281150</t>
  </si>
  <si>
    <t>5.0473320484161377</t>
  </si>
  <si>
    <t>5.168360233306885</t>
  </si>
  <si>
    <t>5.01965</t>
  </si>
  <si>
    <t>appu</t>
  </si>
  <si>
    <t>14000</t>
  </si>
  <si>
    <t>1853104</t>
  </si>
  <si>
    <t>8.904343605041504</t>
  </si>
  <si>
    <t>25.5264892578125</t>
  </si>
  <si>
    <t>348.347</t>
  </si>
  <si>
    <t>ramage02</t>
  </si>
  <si>
    <t>16830</t>
  </si>
  <si>
    <t>2866352</t>
  </si>
  <si>
    <t>10.021716117858887</t>
  </si>
  <si>
    <t>14.558857917785645</t>
  </si>
  <si>
    <t>177.907</t>
  </si>
  <si>
    <t>igbt3</t>
  </si>
  <si>
    <t>10938</t>
  </si>
  <si>
    <t>234006</t>
  </si>
  <si>
    <t>2.053128957748413</t>
  </si>
  <si>
    <t>3.623868942260742</t>
  </si>
  <si>
    <t>9.04909</t>
  </si>
  <si>
    <t>c-47</t>
  </si>
  <si>
    <t>15343</t>
  </si>
  <si>
    <t>211401</t>
  </si>
  <si>
    <t>20.12566566467285</t>
  </si>
  <si>
    <t>15.290862083435059</t>
  </si>
  <si>
    <t>468.799</t>
  </si>
  <si>
    <t>bcsstk25</t>
  </si>
  <si>
    <t>15439</t>
  </si>
  <si>
    <t>252241</t>
  </si>
  <si>
    <t>2.047683000564575</t>
  </si>
  <si>
    <t>3.2596468925476074</t>
  </si>
  <si>
    <t>5.18246</t>
  </si>
  <si>
    <t>g7jac040</t>
  </si>
  <si>
    <t>2.123552083969116</t>
  </si>
  <si>
    <t>2.4850518703460693</t>
  </si>
  <si>
    <t>8.57293</t>
  </si>
  <si>
    <t>std1_Jac3</t>
  </si>
  <si>
    <t>1455848</t>
  </si>
  <si>
    <t>28.356950759887695</t>
  </si>
  <si>
    <t>21.803775787353516</t>
  </si>
  <si>
    <t>571.007</t>
  </si>
  <si>
    <t>TSOPF_RS_b39_c7</t>
  </si>
  <si>
    <t>14098</t>
  </si>
  <si>
    <t>252446</t>
  </si>
  <si>
    <t>2.100486993789673</t>
  </si>
  <si>
    <t>2.78505802154541</t>
  </si>
  <si>
    <t>3.95571</t>
  </si>
  <si>
    <t>TSOPF_RS_b162_c4</t>
  </si>
  <si>
    <t>20374</t>
  </si>
  <si>
    <t>812749</t>
  </si>
  <si>
    <t>4.01019287109375</t>
  </si>
  <si>
    <t>4.633270263671875</t>
  </si>
  <si>
    <t>12.6863</t>
  </si>
  <si>
    <t>TSOPF_RS_b678_c1</t>
  </si>
  <si>
    <t>18696</t>
  </si>
  <si>
    <t>4396289</t>
  </si>
  <si>
    <t>22.20667266845703</t>
  </si>
  <si>
    <t>20.46595573425293</t>
  </si>
  <si>
    <t>306.464</t>
  </si>
  <si>
    <t>av41092</t>
  </si>
  <si>
    <t>41092</t>
  </si>
  <si>
    <t>1683902</t>
  </si>
  <si>
    <t>36.64336395263672</t>
  </si>
  <si>
    <t>39.773399353027344</t>
  </si>
  <si>
    <t>1640.72</t>
  </si>
  <si>
    <t>fxm4_6_id_1381</t>
  </si>
  <si>
    <t>18892</t>
  </si>
  <si>
    <t>497844</t>
  </si>
  <si>
    <t>5.2416181564331055</t>
  </si>
  <si>
    <t>6.389944076538086</t>
  </si>
  <si>
    <t>50.5211</t>
  </si>
  <si>
    <t>Si34H36</t>
  </si>
  <si>
    <t>97569</t>
  </si>
  <si>
    <t>5156379</t>
  </si>
  <si>
    <t>15.165159225463867</t>
  </si>
  <si>
    <t>41.42417526245117</t>
  </si>
  <si>
    <t>268.872</t>
  </si>
  <si>
    <t>oilpan</t>
  </si>
  <si>
    <t>73752</t>
  </si>
  <si>
    <t>3597188</t>
  </si>
  <si>
    <t>10.2149977684021</t>
  </si>
  <si>
    <t>12.697274208068848</t>
  </si>
  <si>
    <t>11.3244</t>
  </si>
  <si>
    <t>nd12k</t>
  </si>
  <si>
    <t>36000</t>
  </si>
  <si>
    <t>14220946</t>
  </si>
  <si>
    <t>30.438461303710938</t>
  </si>
  <si>
    <t>47.04612350463867</t>
  </si>
  <si>
    <t>462.102</t>
  </si>
  <si>
    <t>Zd_Jac6</t>
  </si>
  <si>
    <t>1711983</t>
  </si>
  <si>
    <t>27.50269889831543</t>
  </si>
  <si>
    <t>22.917896270751953</t>
  </si>
  <si>
    <t>551.027</t>
  </si>
  <si>
    <t>Ge87H76</t>
  </si>
  <si>
    <t>7892195</t>
  </si>
  <si>
    <t>19.62928581237793</t>
  </si>
  <si>
    <t>48.49746322631836</t>
  </si>
  <si>
    <t>317.464</t>
  </si>
  <si>
    <t>sinc18</t>
  </si>
  <si>
    <t>16428</t>
  </si>
  <si>
    <t>973826</t>
  </si>
  <si>
    <t>5.583141803741455</t>
  </si>
  <si>
    <t>9.692898750305176</t>
  </si>
  <si>
    <t>81.1653</t>
  </si>
  <si>
    <t>Zd_Jac3</t>
  </si>
  <si>
    <t>1916152</t>
  </si>
  <si>
    <t>26.87977409362793</t>
  </si>
  <si>
    <t>24.17652702331543</t>
  </si>
  <si>
    <t>575.348</t>
  </si>
  <si>
    <t>lowThrust_9</t>
  </si>
  <si>
    <t>18044</t>
  </si>
  <si>
    <t>219589</t>
  </si>
  <si>
    <t>33.99980545043945</t>
  </si>
  <si>
    <t>41.494022369384766</t>
  </si>
  <si>
    <t>3393.19</t>
  </si>
  <si>
    <t>lhr17c</t>
  </si>
  <si>
    <t>2.290893077850342</t>
  </si>
  <si>
    <t>3.4829180240631104</t>
  </si>
  <si>
    <t>5.52653</t>
  </si>
  <si>
    <t>lowThrust_6</t>
  </si>
  <si>
    <t>16928</t>
  </si>
  <si>
    <t>207349</t>
  </si>
  <si>
    <t>31.816736221313477</t>
  </si>
  <si>
    <t>21.083650588989258</t>
  </si>
  <si>
    <t>2937.59</t>
  </si>
  <si>
    <t>sparsine</t>
  </si>
  <si>
    <t>50000</t>
  </si>
  <si>
    <t>1548988</t>
  </si>
  <si>
    <t>10.181992053985596</t>
  </si>
  <si>
    <t>15.980027198791504</t>
  </si>
  <si>
    <t>17.3435</t>
  </si>
  <si>
    <t>pkustk02</t>
  </si>
  <si>
    <t>10800</t>
  </si>
  <si>
    <t>810000</t>
  </si>
  <si>
    <t>6.3752121925354</t>
  </si>
  <si>
    <t>6.173506736755371</t>
  </si>
  <si>
    <t>32.2765</t>
  </si>
  <si>
    <t>g7jac080</t>
  </si>
  <si>
    <t>3.491353988647461</t>
  </si>
  <si>
    <t>4.612226963043213</t>
  </si>
  <si>
    <t>13.7052</t>
  </si>
  <si>
    <t>pkustk12</t>
  </si>
  <si>
    <t>94653</t>
  </si>
  <si>
    <t>7512317</t>
  </si>
  <si>
    <t>83.18466186523438</t>
  </si>
  <si>
    <t>103.39460754394531</t>
  </si>
  <si>
    <t>8781.4</t>
  </si>
  <si>
    <t>skirt_id_764</t>
  </si>
  <si>
    <t>1.9231890439987183</t>
  </si>
  <si>
    <t>2.684283971786499</t>
  </si>
  <si>
    <t>4.93568</t>
  </si>
  <si>
    <t>TSOPF_FS_b300</t>
  </si>
  <si>
    <t>479.0163879394531</t>
  </si>
  <si>
    <t>310.3222351074219</t>
  </si>
  <si>
    <t>102092</t>
  </si>
  <si>
    <t>pcrystk03</t>
  </si>
  <si>
    <t>3.54400897026062</t>
  </si>
  <si>
    <t>6.656065940856934</t>
  </si>
  <si>
    <t>hangGlider_5</t>
  </si>
  <si>
    <t>16011</t>
  </si>
  <si>
    <t>155246</t>
  </si>
  <si>
    <t>22.67188835144043</t>
  </si>
  <si>
    <t>43.97146987915039</t>
  </si>
  <si>
    <t>6744.43</t>
  </si>
  <si>
    <t>3D_28984_Tetra</t>
  </si>
  <si>
    <t>28984</t>
  </si>
  <si>
    <t>599170</t>
  </si>
  <si>
    <t>12.987800598144531</t>
  </si>
  <si>
    <t>26.495038986206055</t>
  </si>
  <si>
    <t>2539.05</t>
  </si>
  <si>
    <t>crystm03</t>
  </si>
  <si>
    <t>583770</t>
  </si>
  <si>
    <t>5.1315529346466064</t>
  </si>
  <si>
    <t>5.5795369148254395</t>
  </si>
  <si>
    <t>6.90688</t>
  </si>
  <si>
    <t>lhr14c</t>
  </si>
  <si>
    <t>1.9125339984893799</t>
  </si>
  <si>
    <t>3.476870059967041</t>
  </si>
  <si>
    <t>5.47021</t>
  </si>
  <si>
    <t>lhr10</t>
  </si>
  <si>
    <t>2.2416789531707764</t>
  </si>
  <si>
    <t>2.9215409755706787</t>
  </si>
  <si>
    <t>5.35962</t>
  </si>
  <si>
    <t>m_t1</t>
  </si>
  <si>
    <t>97578</t>
  </si>
  <si>
    <t>9753570</t>
  </si>
  <si>
    <t>18.279027938842773</t>
  </si>
  <si>
    <t>32.257389068603516</t>
  </si>
  <si>
    <t>117.313</t>
  </si>
  <si>
    <t>lowThrust_11</t>
  </si>
  <si>
    <t>18368</t>
  </si>
  <si>
    <t>223801</t>
  </si>
  <si>
    <t>38.528907775878906</t>
  </si>
  <si>
    <t>22.938549041748047</t>
  </si>
  <si>
    <t>3450.96</t>
  </si>
  <si>
    <t>TSOPF_RS_b2383_c1</t>
  </si>
  <si>
    <t>38120</t>
  </si>
  <si>
    <t>16171169</t>
  </si>
  <si>
    <t>49.06399917602539</t>
  </si>
  <si>
    <t>57.383907318115234</t>
  </si>
  <si>
    <t>731.47</t>
  </si>
  <si>
    <t>tandem_vtx</t>
  </si>
  <si>
    <t>18454</t>
  </si>
  <si>
    <t>253350</t>
  </si>
  <si>
    <t>1.9515089988708496</t>
  </si>
  <si>
    <t>3.076375961303711</t>
  </si>
  <si>
    <t>4.97459</t>
  </si>
  <si>
    <t>pct20stif</t>
  </si>
  <si>
    <t>52329</t>
  </si>
  <si>
    <t>2698463</t>
  </si>
  <si>
    <t>8.89609432220459</t>
  </si>
  <si>
    <t>13.164968490600586</t>
  </si>
  <si>
    <t>61.398</t>
  </si>
  <si>
    <t>ct20stif</t>
  </si>
  <si>
    <t>8.59989070892334</t>
  </si>
  <si>
    <t>13.193655967712402</t>
  </si>
  <si>
    <t>63.0897</t>
  </si>
  <si>
    <t>cz10228</t>
  </si>
  <si>
    <t>10228</t>
  </si>
  <si>
    <t>102876</t>
  </si>
  <si>
    <t>1.580064058303833</t>
  </si>
  <si>
    <t>1.8990129232406616</t>
  </si>
  <si>
    <t>2.42381</t>
  </si>
  <si>
    <t>Goodwin_071</t>
  </si>
  <si>
    <t>56021</t>
  </si>
  <si>
    <t>1797934</t>
  </si>
  <si>
    <t>8.06279182434082</t>
  </si>
  <si>
    <t>9.461156845092773</t>
  </si>
  <si>
    <t>7.7056</t>
  </si>
  <si>
    <t>bloweybq</t>
  </si>
  <si>
    <t>10001</t>
  </si>
  <si>
    <t>69991</t>
  </si>
  <si>
    <t>27.956539154052734</t>
  </si>
  <si>
    <t>29.504663467407227</t>
  </si>
  <si>
    <t>3353.9</t>
  </si>
  <si>
    <t>pkustk04</t>
  </si>
  <si>
    <t>55590</t>
  </si>
  <si>
    <t>4218660</t>
  </si>
  <si>
    <t>50.95102310180664</t>
  </si>
  <si>
    <t>59.90985107421875</t>
  </si>
  <si>
    <t>4123.11</t>
  </si>
  <si>
    <t>bcsstk36</t>
  </si>
  <si>
    <t>1143140</t>
  </si>
  <si>
    <t>4.454211235046387</t>
  </si>
  <si>
    <t>6.410886764526367</t>
  </si>
  <si>
    <t>22.3171</t>
  </si>
  <si>
    <t>pkustk07</t>
  </si>
  <si>
    <t>16860</t>
  </si>
  <si>
    <t>2418804</t>
  </si>
  <si>
    <t>11.730324745178223</t>
  </si>
  <si>
    <t>15.026806831359863</t>
  </si>
  <si>
    <t>277.493</t>
  </si>
  <si>
    <t>kron_g500-logn17</t>
  </si>
  <si>
    <t>131072</t>
  </si>
  <si>
    <t>10228360</t>
  </si>
  <si>
    <t>113.98835754394531</t>
  </si>
  <si>
    <t>198.90196228027344</t>
  </si>
  <si>
    <t>32641.2</t>
  </si>
  <si>
    <t>TSOPF_FS_b162_c4</t>
  </si>
  <si>
    <t>40798</t>
  </si>
  <si>
    <t>2398220</t>
  </si>
  <si>
    <t>483.69329833984375</t>
  </si>
  <si>
    <t>362.7807922363281</t>
  </si>
  <si>
    <t>142071</t>
  </si>
  <si>
    <t>cyl6</t>
  </si>
  <si>
    <t>714241</t>
  </si>
  <si>
    <t>2.403265953063965</t>
  </si>
  <si>
    <t>3.670289993286133</t>
  </si>
  <si>
    <t>5.97504</t>
  </si>
  <si>
    <t>nd24k</t>
  </si>
  <si>
    <t>72000</t>
  </si>
  <si>
    <t>28715634</t>
  </si>
  <si>
    <t>53.66463088989258</t>
  </si>
  <si>
    <t>96.92694854736328</t>
  </si>
  <si>
    <t>475.331</t>
  </si>
  <si>
    <t>windtunnel_evap3d</t>
  </si>
  <si>
    <t>40816</t>
  </si>
  <si>
    <t>2730600</t>
  </si>
  <si>
    <t>5.901401996612549</t>
  </si>
  <si>
    <t>21.712221145629883</t>
  </si>
  <si>
    <t>85.9965</t>
  </si>
  <si>
    <t>gyro_m</t>
  </si>
  <si>
    <t>340431</t>
  </si>
  <si>
    <t>2.570051908493042</t>
  </si>
  <si>
    <t>5.585874080657959</t>
  </si>
  <si>
    <t>27.3306</t>
  </si>
  <si>
    <t>mosfet2</t>
  </si>
  <si>
    <t>46994</t>
  </si>
  <si>
    <t>1499460</t>
  </si>
  <si>
    <t>4.099894046783447</t>
  </si>
  <si>
    <t>17.67562484741211</t>
  </si>
  <si>
    <t>46.1998</t>
  </si>
  <si>
    <t>ca-AstroPh</t>
  </si>
  <si>
    <t>18772</t>
  </si>
  <si>
    <t>396160</t>
  </si>
  <si>
    <t>4.9640212059021</t>
  </si>
  <si>
    <t>6.817407131195068</t>
  </si>
  <si>
    <t>60.161</t>
  </si>
  <si>
    <t>TSOPF_RS_b2383</t>
  </si>
  <si>
    <t>48.774681091308594</t>
  </si>
  <si>
    <t>61.48289489746094</t>
  </si>
  <si>
    <t>731.993</t>
  </si>
  <si>
    <t>FEM_3D_thermal1</t>
  </si>
  <si>
    <t>17880</t>
  </si>
  <si>
    <t>430740</t>
  </si>
  <si>
    <t>2.5810980796813965</t>
  </si>
  <si>
    <t>3.8686580657958984</t>
  </si>
  <si>
    <t>5.52141</t>
  </si>
  <si>
    <t>olafu</t>
  </si>
  <si>
    <t>16146</t>
  </si>
  <si>
    <t>1015156</t>
  </si>
  <si>
    <t>3.807760000228882</t>
  </si>
  <si>
    <t>5.3477678298950195</t>
  </si>
  <si>
    <t>16.0788</t>
  </si>
  <si>
    <t>pattern1</t>
  </si>
  <si>
    <t>19242</t>
  </si>
  <si>
    <t>9323432</t>
  </si>
  <si>
    <t>83.58600616455078</t>
  </si>
  <si>
    <t>173.08560180664062</t>
  </si>
  <si>
    <t>14902.3</t>
  </si>
  <si>
    <t>ex19</t>
  </si>
  <si>
    <t>12005</t>
  </si>
  <si>
    <t>259879</t>
  </si>
  <si>
    <t>1.8592779636383057</t>
  </si>
  <si>
    <t>2.7534689903259277</t>
  </si>
  <si>
    <t>4.05402</t>
  </si>
  <si>
    <t>gyro_k</t>
  </si>
  <si>
    <t>4.759490966796875</t>
  </si>
  <si>
    <t>6.791511058807373</t>
  </si>
  <si>
    <t>84.2312</t>
  </si>
  <si>
    <t>sme3Db</t>
  </si>
  <si>
    <t>29067</t>
  </si>
  <si>
    <t>2081063</t>
  </si>
  <si>
    <t>9.945383071899414</t>
  </si>
  <si>
    <t>24.582338333129883</t>
  </si>
  <si>
    <t>611.769</t>
  </si>
  <si>
    <t>chipcool1</t>
  </si>
  <si>
    <t>4.7452759742736816</t>
  </si>
  <si>
    <t>4.601151943206787</t>
  </si>
  <si>
    <t>5.02477</t>
  </si>
  <si>
    <t>shipsec8</t>
  </si>
  <si>
    <t>114919</t>
  </si>
  <si>
    <t>6653399</t>
  </si>
  <si>
    <t>12.038701057434082</t>
  </si>
  <si>
    <t>26.174402236938477</t>
  </si>
  <si>
    <t>46.3002</t>
  </si>
  <si>
    <t>FA</t>
  </si>
  <si>
    <t>10617</t>
  </si>
  <si>
    <t>72176</t>
  </si>
  <si>
    <t>1.4499720335006714</t>
  </si>
  <si>
    <t>1.9811780452728271</t>
  </si>
  <si>
    <t>4.58673e-41</t>
  </si>
  <si>
    <t>ex11</t>
  </si>
  <si>
    <t>16614</t>
  </si>
  <si>
    <t>1096948</t>
  </si>
  <si>
    <t>4.598052978515625</t>
  </si>
  <si>
    <t>6.561101913452148</t>
  </si>
  <si>
    <t>29.7011</t>
  </si>
  <si>
    <t>ted_B_unscaled</t>
  </si>
  <si>
    <t>1.9851460456848145</t>
  </si>
  <si>
    <t>2.2056210041046143</t>
  </si>
  <si>
    <t>6.03648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</si>
</sst>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0"/>
  <sheetViews>
    <sheetView tabSelected="1" topLeftCell="E10" workbookViewId="0">
      <selection activeCell="Q42" sqref="Q42:R45"/>
    </sheetView>
  </sheetViews>
  <sheetFormatPr defaultColWidth="9" defaultRowHeight="13.5"/>
  <cols>
    <col min="1" max="1" width="29.625" customWidth="1"/>
    <col min="5" max="5" width="29.625" customWidth="1"/>
    <col min="6" max="6" width="23.3833333333333" customWidth="1"/>
    <col min="8" max="12" width="12.625"/>
    <col min="14" max="16" width="12.625"/>
    <col min="18" max="18" width="12.625"/>
  </cols>
  <sheetData>
    <row r="1" spans="1:19">
      <c r="A1" s="1"/>
      <c r="B1" s="2"/>
      <c r="C1" s="2"/>
      <c r="D1" s="2"/>
      <c r="E1" s="1" t="s">
        <v>0</v>
      </c>
      <c r="F1" s="3" t="s">
        <v>1</v>
      </c>
      <c r="G1" s="2" t="s">
        <v>2</v>
      </c>
      <c r="H1" s="2"/>
      <c r="I1" s="2" t="s">
        <v>3</v>
      </c>
    </row>
    <row r="2" spans="1:19">
      <c r="A2" s="1" t="s">
        <v>4</v>
      </c>
      <c r="B2" s="3" t="s">
        <v>5</v>
      </c>
      <c r="C2" s="3" t="s">
        <v>5</v>
      </c>
      <c r="D2" s="3" t="s">
        <v>6</v>
      </c>
      <c r="E2" s="6" t="s">
        <v>7</v>
      </c>
      <c r="F2" s="3" t="s">
        <v>8</v>
      </c>
      <c r="G2" s="3" t="s">
        <v>9</v>
      </c>
      <c r="H2" s="4">
        <f>(G2/F2)</f>
        <v>0.888589219310533</v>
      </c>
      <c r="I2" s="1">
        <v>0.0522239990532398</v>
      </c>
      <c r="J2">
        <f>(E2/I2)</f>
        <v>113.80957463253</v>
      </c>
      <c r="K2">
        <f>(F2/I2)</f>
        <v>114.876879453002</v>
      </c>
      <c r="L2">
        <f>(G2/I2)</f>
        <v>102.078356629973</v>
      </c>
      <c r="N2">
        <v>113.80957463253</v>
      </c>
      <c r="O2">
        <v>114.876879453002</v>
      </c>
      <c r="P2">
        <v>102.078356629973</v>
      </c>
      <c r="Q2">
        <f>INT(N2)</f>
        <v>113</v>
      </c>
      <c r="R2">
        <f>INT(O2)</f>
        <v>114</v>
      </c>
      <c r="S2">
        <f>INT(P2)</f>
        <v>102</v>
      </c>
    </row>
    <row r="3" spans="1:19">
      <c r="A3" s="1" t="s">
        <v>10</v>
      </c>
      <c r="B3" s="3" t="s">
        <v>11</v>
      </c>
      <c r="C3" s="3" t="s">
        <v>11</v>
      </c>
      <c r="D3" s="3" t="s">
        <v>12</v>
      </c>
      <c r="E3" s="1" t="s">
        <v>13</v>
      </c>
      <c r="F3" s="3" t="s">
        <v>14</v>
      </c>
      <c r="G3" s="3" t="s">
        <v>15</v>
      </c>
      <c r="H3" s="2">
        <f t="shared" ref="H3:H9" si="0">(G3/F3)</f>
        <v>7.6546390733879</v>
      </c>
      <c r="I3" s="2"/>
      <c r="J3"/>
      <c r="K3"/>
      <c r="L3"/>
      <c r="N3">
        <v>47.737249034291</v>
      </c>
      <c r="O3">
        <v>48.2535174768495</v>
      </c>
      <c r="P3">
        <v>63.7260516337016</v>
      </c>
      <c r="Q3">
        <f t="shared" ref="Q3:Q40" si="1">INT(N3)</f>
        <v>47</v>
      </c>
      <c r="R3">
        <f t="shared" ref="R3:R40" si="2">INT(O3)</f>
        <v>48</v>
      </c>
      <c r="S3">
        <f t="shared" ref="S3:S40" si="3">INT(P3)</f>
        <v>63</v>
      </c>
    </row>
    <row r="4" spans="1:19">
      <c r="A4" s="1" t="s">
        <v>16</v>
      </c>
      <c r="B4" s="3" t="s">
        <v>17</v>
      </c>
      <c r="C4" s="3" t="s">
        <v>17</v>
      </c>
      <c r="D4" s="3" t="s">
        <v>18</v>
      </c>
      <c r="E4" s="1" t="s">
        <v>19</v>
      </c>
      <c r="F4" s="3" t="s">
        <v>20</v>
      </c>
      <c r="G4" s="3" t="s">
        <v>21</v>
      </c>
      <c r="H4" s="2">
        <f t="shared" si="0"/>
        <v>96.8345693412567</v>
      </c>
      <c r="I4" s="2"/>
      <c r="J4"/>
      <c r="K4"/>
      <c r="L4"/>
      <c r="N4">
        <v>32.373677434985</v>
      </c>
      <c r="O4">
        <v>38.0872562296204</v>
      </c>
      <c r="P4">
        <v>38.2973484160546</v>
      </c>
      <c r="Q4">
        <f t="shared" si="1"/>
        <v>32</v>
      </c>
      <c r="R4">
        <f t="shared" si="2"/>
        <v>38</v>
      </c>
      <c r="S4">
        <f t="shared" si="3"/>
        <v>38</v>
      </c>
    </row>
    <row r="5" spans="1:19">
      <c r="A5" s="1" t="s">
        <v>22</v>
      </c>
      <c r="B5" s="3" t="s">
        <v>23</v>
      </c>
      <c r="C5" s="3" t="s">
        <v>23</v>
      </c>
      <c r="D5" s="3" t="s">
        <v>24</v>
      </c>
      <c r="E5" s="1" t="s">
        <v>25</v>
      </c>
      <c r="F5" s="3" t="s">
        <v>26</v>
      </c>
      <c r="G5" s="3" t="s">
        <v>27</v>
      </c>
      <c r="H5" s="2">
        <f t="shared" si="0"/>
        <v>103.322274500634</v>
      </c>
      <c r="I5" s="2"/>
      <c r="J5"/>
      <c r="K5"/>
      <c r="L5"/>
      <c r="N5">
        <v>24.6218057410334</v>
      </c>
      <c r="O5">
        <v>42.765579264734</v>
      </c>
      <c r="P5">
        <v>34.8124173884467</v>
      </c>
      <c r="Q5">
        <f t="shared" si="1"/>
        <v>24</v>
      </c>
      <c r="R5">
        <f t="shared" si="2"/>
        <v>42</v>
      </c>
      <c r="S5">
        <f t="shared" si="3"/>
        <v>34</v>
      </c>
    </row>
    <row r="6" spans="1:19">
      <c r="A6" s="1" t="s">
        <v>28</v>
      </c>
      <c r="B6" s="3" t="s">
        <v>29</v>
      </c>
      <c r="C6" s="3" t="s">
        <v>29</v>
      </c>
      <c r="D6" s="3" t="s">
        <v>30</v>
      </c>
      <c r="E6" s="6" t="s">
        <v>31</v>
      </c>
      <c r="F6" s="3" t="s">
        <v>32</v>
      </c>
      <c r="G6" s="3" t="s">
        <v>33</v>
      </c>
      <c r="H6" s="4">
        <f t="shared" si="0"/>
        <v>1.32065090724786</v>
      </c>
      <c r="I6" s="1">
        <v>0.074752002954483</v>
      </c>
      <c r="J6">
        <f>(E6/I6)</f>
        <v>47.737249034291</v>
      </c>
      <c r="K6">
        <f>(F6/I6)</f>
        <v>48.2535174768495</v>
      </c>
      <c r="L6">
        <f>(G6/I6)</f>
        <v>63.7260516337016</v>
      </c>
      <c r="N6">
        <v>38.7901958811194</v>
      </c>
      <c r="O6">
        <v>37.2283596295316</v>
      </c>
      <c r="P6">
        <v>43.089250246032</v>
      </c>
      <c r="Q6">
        <f t="shared" si="1"/>
        <v>38</v>
      </c>
      <c r="R6">
        <f t="shared" si="2"/>
        <v>37</v>
      </c>
      <c r="S6">
        <f t="shared" si="3"/>
        <v>43</v>
      </c>
    </row>
    <row r="7" spans="1:19">
      <c r="A7" s="1" t="s">
        <v>34</v>
      </c>
      <c r="B7" s="3" t="s">
        <v>35</v>
      </c>
      <c r="C7" s="3" t="s">
        <v>35</v>
      </c>
      <c r="D7" s="3" t="s">
        <v>36</v>
      </c>
      <c r="E7" s="1" t="s">
        <v>37</v>
      </c>
      <c r="F7" s="3" t="s">
        <v>38</v>
      </c>
      <c r="G7" s="3" t="s">
        <v>39</v>
      </c>
      <c r="H7" s="2">
        <f t="shared" si="0"/>
        <v>3.33944512084572</v>
      </c>
      <c r="I7" s="2"/>
      <c r="J7"/>
      <c r="K7"/>
      <c r="L7"/>
      <c r="N7">
        <v>39.0637053219139</v>
      </c>
      <c r="O7">
        <v>44.3541206847843</v>
      </c>
      <c r="P7">
        <v>26.2222709921882</v>
      </c>
      <c r="Q7">
        <f t="shared" si="1"/>
        <v>39</v>
      </c>
      <c r="R7">
        <f t="shared" si="2"/>
        <v>44</v>
      </c>
      <c r="S7">
        <f t="shared" si="3"/>
        <v>26</v>
      </c>
    </row>
    <row r="8" spans="1:19">
      <c r="A8" s="1" t="s">
        <v>40</v>
      </c>
      <c r="B8" s="3" t="s">
        <v>41</v>
      </c>
      <c r="C8" s="3" t="s">
        <v>41</v>
      </c>
      <c r="D8" s="3" t="s">
        <v>42</v>
      </c>
      <c r="E8" s="1" t="s">
        <v>43</v>
      </c>
      <c r="F8" s="3" t="s">
        <v>44</v>
      </c>
      <c r="G8" s="3" t="s">
        <v>45</v>
      </c>
      <c r="H8" s="4">
        <f t="shared" si="0"/>
        <v>1.00551607564398</v>
      </c>
      <c r="I8" s="1">
        <v>0.0378880016505718</v>
      </c>
      <c r="J8">
        <f>(E8/I8)</f>
        <v>32.373677434985</v>
      </c>
      <c r="K8">
        <f>(F8/I8)</f>
        <v>38.0872562296204</v>
      </c>
      <c r="L8">
        <f>(G8/I8)</f>
        <v>38.2973484160546</v>
      </c>
      <c r="N8">
        <v>72.0440257789247</v>
      </c>
      <c r="O8">
        <v>54.0580619323258</v>
      </c>
      <c r="P8">
        <v>73.6286252655958</v>
      </c>
      <c r="Q8">
        <f t="shared" si="1"/>
        <v>72</v>
      </c>
      <c r="R8">
        <f t="shared" si="2"/>
        <v>54</v>
      </c>
      <c r="S8">
        <f t="shared" si="3"/>
        <v>73</v>
      </c>
    </row>
    <row r="9" spans="1:19">
      <c r="A9" s="1" t="s">
        <v>46</v>
      </c>
      <c r="B9" s="3" t="s">
        <v>47</v>
      </c>
      <c r="C9" s="3" t="s">
        <v>47</v>
      </c>
      <c r="D9" s="3" t="s">
        <v>48</v>
      </c>
      <c r="E9" s="1" t="s">
        <v>49</v>
      </c>
      <c r="F9" s="3" t="s">
        <v>50</v>
      </c>
      <c r="G9" s="3" t="s">
        <v>51</v>
      </c>
      <c r="H9" s="4">
        <f t="shared" si="0"/>
        <v>0.814028898637046</v>
      </c>
      <c r="I9" s="1">
        <v>0.0491520017385483</v>
      </c>
      <c r="J9">
        <f>(E9/I9)</f>
        <v>24.6218057410334</v>
      </c>
      <c r="K9">
        <f>(F9/I9)</f>
        <v>42.765579264734</v>
      </c>
      <c r="L9">
        <f>(G9/I9)</f>
        <v>34.8124173884467</v>
      </c>
      <c r="N9">
        <v>34.6982126503432</v>
      </c>
      <c r="O9">
        <v>40.9774803765821</v>
      </c>
      <c r="P9">
        <v>29.2940022436057</v>
      </c>
      <c r="Q9">
        <f t="shared" si="1"/>
        <v>34</v>
      </c>
      <c r="R9">
        <f t="shared" si="2"/>
        <v>40</v>
      </c>
      <c r="S9">
        <f t="shared" si="3"/>
        <v>29</v>
      </c>
    </row>
    <row r="10" spans="1:19">
      <c r="A10" s="1" t="s">
        <v>52</v>
      </c>
      <c r="B10" s="3" t="s">
        <v>53</v>
      </c>
      <c r="C10" s="3" t="s">
        <v>53</v>
      </c>
      <c r="D10" s="3" t="s">
        <v>54</v>
      </c>
      <c r="E10" s="1" t="s">
        <v>55</v>
      </c>
      <c r="F10" s="3" t="s">
        <v>56</v>
      </c>
      <c r="G10" s="3" t="s">
        <v>57</v>
      </c>
      <c r="H10" s="2">
        <f t="shared" ref="H10:H73" si="4">(G10/F10)</f>
        <v>7.39669532969288</v>
      </c>
      <c r="I10" s="2"/>
      <c r="J10"/>
      <c r="K10"/>
      <c r="L10"/>
      <c r="N10">
        <v>24.4819278243481</v>
      </c>
      <c r="O10">
        <v>45.5619440989415</v>
      </c>
      <c r="P10">
        <v>23.5231336175314</v>
      </c>
      <c r="Q10">
        <f t="shared" si="1"/>
        <v>24</v>
      </c>
      <c r="R10">
        <f t="shared" si="2"/>
        <v>45</v>
      </c>
      <c r="S10">
        <f t="shared" si="3"/>
        <v>23</v>
      </c>
    </row>
    <row r="11" spans="1:19">
      <c r="A11" s="1" t="s">
        <v>58</v>
      </c>
      <c r="B11" s="3" t="s">
        <v>59</v>
      </c>
      <c r="C11" s="3" t="s">
        <v>59</v>
      </c>
      <c r="D11" s="3" t="s">
        <v>60</v>
      </c>
      <c r="E11" s="1" t="s">
        <v>61</v>
      </c>
      <c r="F11" s="3" t="s">
        <v>62</v>
      </c>
      <c r="G11" s="3" t="s">
        <v>63</v>
      </c>
      <c r="H11" s="2">
        <f t="shared" si="4"/>
        <v>2.10460830231902</v>
      </c>
      <c r="I11" s="2"/>
      <c r="J11"/>
      <c r="K11"/>
      <c r="L11"/>
      <c r="N11">
        <v>27.2651366650825</v>
      </c>
      <c r="O11">
        <v>44.4688816665823</v>
      </c>
      <c r="P11">
        <v>25.0151661161743</v>
      </c>
      <c r="Q11">
        <f t="shared" si="1"/>
        <v>27</v>
      </c>
      <c r="R11">
        <f t="shared" si="2"/>
        <v>44</v>
      </c>
      <c r="S11">
        <f t="shared" si="3"/>
        <v>25</v>
      </c>
    </row>
    <row r="12" spans="1:19">
      <c r="A12" s="1" t="s">
        <v>64</v>
      </c>
      <c r="B12" s="3" t="s">
        <v>65</v>
      </c>
      <c r="C12" s="3" t="s">
        <v>65</v>
      </c>
      <c r="D12" s="3" t="s">
        <v>66</v>
      </c>
      <c r="E12" s="1" t="s">
        <v>67</v>
      </c>
      <c r="F12" s="3" t="s">
        <v>68</v>
      </c>
      <c r="G12" s="3" t="s">
        <v>69</v>
      </c>
      <c r="H12" s="2">
        <f t="shared" si="4"/>
        <v>5.45779332942469</v>
      </c>
      <c r="I12" s="2"/>
      <c r="J12"/>
      <c r="K12"/>
      <c r="L12"/>
      <c r="N12">
        <v>36.2191463014919</v>
      </c>
      <c r="O12">
        <v>47.4993974814099</v>
      </c>
      <c r="P12">
        <v>34.7142394868856</v>
      </c>
      <c r="Q12">
        <f t="shared" si="1"/>
        <v>36</v>
      </c>
      <c r="R12">
        <f t="shared" si="2"/>
        <v>47</v>
      </c>
      <c r="S12">
        <f t="shared" si="3"/>
        <v>34</v>
      </c>
    </row>
    <row r="13" spans="1:19">
      <c r="A13" s="1" t="s">
        <v>70</v>
      </c>
      <c r="B13" s="3" t="s">
        <v>71</v>
      </c>
      <c r="C13" s="3" t="s">
        <v>71</v>
      </c>
      <c r="D13" s="3" t="s">
        <v>72</v>
      </c>
      <c r="E13" s="1" t="s">
        <v>73</v>
      </c>
      <c r="F13" s="3" t="s">
        <v>74</v>
      </c>
      <c r="G13" s="3" t="s">
        <v>75</v>
      </c>
      <c r="H13" s="5">
        <f t="shared" si="4"/>
        <v>1.33612692120434</v>
      </c>
      <c r="I13" s="2"/>
      <c r="J13"/>
      <c r="K13"/>
      <c r="L13"/>
      <c r="N13">
        <v>31.9302911913084</v>
      </c>
      <c r="O13">
        <v>40.3471119638246</v>
      </c>
      <c r="P13">
        <v>32.5292963045134</v>
      </c>
      <c r="Q13">
        <f t="shared" si="1"/>
        <v>31</v>
      </c>
      <c r="R13">
        <f t="shared" si="2"/>
        <v>40</v>
      </c>
      <c r="S13">
        <f t="shared" si="3"/>
        <v>32</v>
      </c>
    </row>
    <row r="14" spans="1:19">
      <c r="A14" s="1" t="s">
        <v>76</v>
      </c>
      <c r="B14" s="3" t="s">
        <v>77</v>
      </c>
      <c r="C14" s="3" t="s">
        <v>77</v>
      </c>
      <c r="D14" s="3" t="s">
        <v>78</v>
      </c>
      <c r="E14" s="1" t="s">
        <v>79</v>
      </c>
      <c r="F14" s="3" t="s">
        <v>80</v>
      </c>
      <c r="G14" s="3" t="s">
        <v>81</v>
      </c>
      <c r="H14" s="2">
        <f t="shared" si="4"/>
        <v>22.6638666207147</v>
      </c>
      <c r="I14" s="2"/>
      <c r="J14"/>
      <c r="K14"/>
      <c r="L14"/>
      <c r="N14">
        <v>28.0826133022521</v>
      </c>
      <c r="O14">
        <v>41.550990257839</v>
      </c>
      <c r="P14">
        <v>34.2857145578886</v>
      </c>
      <c r="Q14">
        <f t="shared" si="1"/>
        <v>28</v>
      </c>
      <c r="R14">
        <f t="shared" si="2"/>
        <v>41</v>
      </c>
      <c r="S14">
        <f t="shared" si="3"/>
        <v>34</v>
      </c>
    </row>
    <row r="15" spans="1:19">
      <c r="A15" s="1" t="s">
        <v>82</v>
      </c>
      <c r="B15" s="3" t="s">
        <v>83</v>
      </c>
      <c r="C15" s="3" t="s">
        <v>83</v>
      </c>
      <c r="D15" s="3" t="s">
        <v>84</v>
      </c>
      <c r="E15" s="1" t="s">
        <v>85</v>
      </c>
      <c r="F15" s="3" t="s">
        <v>86</v>
      </c>
      <c r="G15" s="3" t="s">
        <v>87</v>
      </c>
      <c r="H15" s="2">
        <f t="shared" si="4"/>
        <v>27.951181003737</v>
      </c>
      <c r="I15" s="2"/>
      <c r="J15"/>
      <c r="K15"/>
      <c r="L15"/>
      <c r="N15">
        <v>39.3343878871867</v>
      </c>
      <c r="O15">
        <v>55.3923436479855</v>
      </c>
      <c r="P15">
        <v>20.9655167189838</v>
      </c>
      <c r="Q15">
        <f t="shared" si="1"/>
        <v>39</v>
      </c>
      <c r="R15">
        <f t="shared" si="2"/>
        <v>55</v>
      </c>
      <c r="S15">
        <f t="shared" si="3"/>
        <v>20</v>
      </c>
    </row>
    <row r="16" spans="1:19">
      <c r="A16" s="1" t="s">
        <v>88</v>
      </c>
      <c r="B16" s="3" t="s">
        <v>89</v>
      </c>
      <c r="C16" s="3" t="s">
        <v>89</v>
      </c>
      <c r="D16" s="3" t="s">
        <v>90</v>
      </c>
      <c r="E16" s="6" t="s">
        <v>91</v>
      </c>
      <c r="F16" s="3" t="s">
        <v>92</v>
      </c>
      <c r="G16" s="3" t="s">
        <v>93</v>
      </c>
      <c r="H16" s="4">
        <f t="shared" si="4"/>
        <v>1.15743080476345</v>
      </c>
      <c r="I16" s="1">
        <v>0.114688001573086</v>
      </c>
      <c r="J16">
        <f>(E16/I16)</f>
        <v>38.7901958811194</v>
      </c>
      <c r="K16">
        <f>(F16/I16)</f>
        <v>37.2283596295316</v>
      </c>
      <c r="L16">
        <f>(G16/I16)</f>
        <v>43.089250246032</v>
      </c>
      <c r="N16">
        <v>35.5774482562185</v>
      </c>
      <c r="O16">
        <v>35.7490587807702</v>
      </c>
      <c r="P16">
        <v>33.1753545151281</v>
      </c>
      <c r="Q16">
        <f t="shared" si="1"/>
        <v>35</v>
      </c>
      <c r="R16">
        <f t="shared" si="2"/>
        <v>35</v>
      </c>
      <c r="S16">
        <f t="shared" si="3"/>
        <v>33</v>
      </c>
    </row>
    <row r="17" spans="1:19">
      <c r="A17" s="1" t="s">
        <v>94</v>
      </c>
      <c r="B17" s="3" t="s">
        <v>95</v>
      </c>
      <c r="C17" s="3" t="s">
        <v>95</v>
      </c>
      <c r="D17" s="3" t="s">
        <v>96</v>
      </c>
      <c r="E17" s="1" t="s">
        <v>97</v>
      </c>
      <c r="F17" s="3" t="s">
        <v>98</v>
      </c>
      <c r="G17" s="3" t="s">
        <v>99</v>
      </c>
      <c r="H17" s="2">
        <f t="shared" si="4"/>
        <v>2.82037204263938</v>
      </c>
      <c r="I17" s="2"/>
      <c r="J17"/>
      <c r="K17"/>
      <c r="L17"/>
      <c r="N17">
        <v>28.6571123754732</v>
      </c>
      <c r="O17">
        <v>44.0212816683939</v>
      </c>
      <c r="P17">
        <v>30.7208393858753</v>
      </c>
      <c r="Q17">
        <f t="shared" si="1"/>
        <v>28</v>
      </c>
      <c r="R17">
        <f t="shared" si="2"/>
        <v>44</v>
      </c>
      <c r="S17">
        <f t="shared" si="3"/>
        <v>30</v>
      </c>
    </row>
    <row r="18" spans="1:19">
      <c r="A18" s="1" t="s">
        <v>100</v>
      </c>
      <c r="B18" s="3" t="s">
        <v>101</v>
      </c>
      <c r="C18" s="3" t="s">
        <v>101</v>
      </c>
      <c r="D18" s="3" t="s">
        <v>102</v>
      </c>
      <c r="E18" s="1" t="s">
        <v>103</v>
      </c>
      <c r="F18" s="3" t="s">
        <v>104</v>
      </c>
      <c r="G18" s="3" t="s">
        <v>105</v>
      </c>
      <c r="H18" s="2">
        <f t="shared" si="4"/>
        <v>11.6498305885364</v>
      </c>
      <c r="I18" s="2"/>
      <c r="J18"/>
      <c r="K18"/>
      <c r="L18"/>
      <c r="N18">
        <v>37.5099576023901</v>
      </c>
      <c r="O18">
        <v>36.3119481830569</v>
      </c>
      <c r="P18">
        <v>39.6250392885326</v>
      </c>
      <c r="Q18">
        <f t="shared" si="1"/>
        <v>37</v>
      </c>
      <c r="R18">
        <f t="shared" si="2"/>
        <v>36</v>
      </c>
      <c r="S18">
        <f t="shared" si="3"/>
        <v>39</v>
      </c>
    </row>
    <row r="19" spans="1:19">
      <c r="A19" s="1" t="s">
        <v>106</v>
      </c>
      <c r="B19" s="3" t="s">
        <v>107</v>
      </c>
      <c r="C19" s="3" t="s">
        <v>107</v>
      </c>
      <c r="D19" s="3" t="s">
        <v>108</v>
      </c>
      <c r="E19" s="1" t="s">
        <v>109</v>
      </c>
      <c r="F19" s="3" t="s">
        <v>110</v>
      </c>
      <c r="G19" s="3" t="s">
        <v>111</v>
      </c>
      <c r="H19" s="2">
        <f t="shared" si="4"/>
        <v>1.03754105256683</v>
      </c>
      <c r="I19" s="2"/>
      <c r="J19"/>
      <c r="K19"/>
      <c r="L19"/>
      <c r="N19">
        <v>44.2669985279283</v>
      </c>
      <c r="O19">
        <v>34.9510891525954</v>
      </c>
      <c r="P19">
        <v>43.41601356285</v>
      </c>
      <c r="Q19">
        <f t="shared" si="1"/>
        <v>44</v>
      </c>
      <c r="R19">
        <f t="shared" si="2"/>
        <v>34</v>
      </c>
      <c r="S19">
        <f t="shared" si="3"/>
        <v>43</v>
      </c>
    </row>
    <row r="20" spans="1:19">
      <c r="A20" s="1" t="s">
        <v>112</v>
      </c>
      <c r="B20" s="3" t="s">
        <v>113</v>
      </c>
      <c r="C20" s="3" t="s">
        <v>113</v>
      </c>
      <c r="D20" s="3" t="s">
        <v>114</v>
      </c>
      <c r="E20" s="6" t="s">
        <v>115</v>
      </c>
      <c r="F20" s="3" t="s">
        <v>116</v>
      </c>
      <c r="G20" s="3" t="s">
        <v>117</v>
      </c>
      <c r="H20" s="4">
        <f t="shared" si="4"/>
        <v>0.591202589237301</v>
      </c>
      <c r="I20" s="1">
        <v>0.0829439982771873</v>
      </c>
      <c r="J20">
        <f>(E20/I20)</f>
        <v>39.0637053219139</v>
      </c>
      <c r="K20">
        <f>(F20/I20)</f>
        <v>44.3541206847843</v>
      </c>
      <c r="L20">
        <f>(G20/I20)</f>
        <v>26.2222709921882</v>
      </c>
      <c r="N20">
        <v>23.2758057085107</v>
      </c>
      <c r="O20">
        <v>38.4384676930268</v>
      </c>
      <c r="P20">
        <v>35.7223555985371</v>
      </c>
      <c r="Q20">
        <f t="shared" si="1"/>
        <v>23</v>
      </c>
      <c r="R20">
        <f t="shared" si="2"/>
        <v>38</v>
      </c>
      <c r="S20">
        <f t="shared" si="3"/>
        <v>35</v>
      </c>
    </row>
    <row r="21" spans="1:19">
      <c r="A21" s="1" t="s">
        <v>118</v>
      </c>
      <c r="B21" s="3" t="s">
        <v>119</v>
      </c>
      <c r="C21" s="3" t="s">
        <v>119</v>
      </c>
      <c r="D21" s="3" t="s">
        <v>120</v>
      </c>
      <c r="E21" s="1" t="s">
        <v>121</v>
      </c>
      <c r="F21" s="3" t="s">
        <v>122</v>
      </c>
      <c r="G21" s="3" t="s">
        <v>123</v>
      </c>
      <c r="H21" s="2">
        <f t="shared" si="4"/>
        <v>2.02105857836149</v>
      </c>
      <c r="I21" s="2"/>
      <c r="J21"/>
      <c r="K21"/>
      <c r="L21"/>
      <c r="N21">
        <v>53.2826224491705</v>
      </c>
      <c r="O21">
        <v>50.423456578817</v>
      </c>
      <c r="P21">
        <v>60.3333105607962</v>
      </c>
      <c r="Q21">
        <f t="shared" si="1"/>
        <v>53</v>
      </c>
      <c r="R21">
        <f t="shared" si="2"/>
        <v>50</v>
      </c>
      <c r="S21">
        <f t="shared" si="3"/>
        <v>60</v>
      </c>
    </row>
    <row r="22" spans="1:19">
      <c r="A22" s="1" t="s">
        <v>124</v>
      </c>
      <c r="B22" s="3" t="s">
        <v>125</v>
      </c>
      <c r="C22" s="3" t="s">
        <v>125</v>
      </c>
      <c r="D22" s="3" t="s">
        <v>126</v>
      </c>
      <c r="E22" s="1" t="s">
        <v>127</v>
      </c>
      <c r="F22" s="3" t="s">
        <v>128</v>
      </c>
      <c r="G22" s="3" t="s">
        <v>129</v>
      </c>
      <c r="H22" s="2">
        <f t="shared" si="4"/>
        <v>2.06760169741575</v>
      </c>
      <c r="I22" s="2"/>
      <c r="J22"/>
      <c r="K22"/>
      <c r="L22"/>
      <c r="N22">
        <v>39.3413565993223</v>
      </c>
      <c r="O22">
        <v>39.9085860370305</v>
      </c>
      <c r="P22">
        <v>43.5679666806326</v>
      </c>
      <c r="Q22">
        <f t="shared" si="1"/>
        <v>39</v>
      </c>
      <c r="R22">
        <f t="shared" si="2"/>
        <v>39</v>
      </c>
      <c r="S22">
        <f t="shared" si="3"/>
        <v>43</v>
      </c>
    </row>
    <row r="23" spans="1:19">
      <c r="A23" s="1" t="s">
        <v>130</v>
      </c>
      <c r="B23" s="3" t="s">
        <v>131</v>
      </c>
      <c r="C23" s="3" t="s">
        <v>131</v>
      </c>
      <c r="D23" s="3" t="s">
        <v>132</v>
      </c>
      <c r="E23" s="6" t="s">
        <v>133</v>
      </c>
      <c r="F23" s="3" t="s">
        <v>134</v>
      </c>
      <c r="G23" s="3" t="s">
        <v>135</v>
      </c>
      <c r="H23" s="4">
        <f t="shared" si="4"/>
        <v>1.36202857878571</v>
      </c>
      <c r="I23" s="1">
        <v>0.0358400009572506</v>
      </c>
      <c r="J23">
        <f>(E23/I23)</f>
        <v>72.0440257789247</v>
      </c>
      <c r="K23">
        <f>(F23/I23)</f>
        <v>54.0580619323258</v>
      </c>
      <c r="L23">
        <f>(G23/I23)</f>
        <v>73.6286252655958</v>
      </c>
      <c r="N23">
        <v>38.2328505900038</v>
      </c>
      <c r="O23">
        <v>35.1713029039604</v>
      </c>
      <c r="P23">
        <v>50.1111000956312</v>
      </c>
      <c r="Q23">
        <f t="shared" si="1"/>
        <v>38</v>
      </c>
      <c r="R23">
        <f t="shared" si="2"/>
        <v>35</v>
      </c>
      <c r="S23">
        <f t="shared" si="3"/>
        <v>50</v>
      </c>
    </row>
    <row r="24" spans="1:19">
      <c r="A24" s="1" t="s">
        <v>136</v>
      </c>
      <c r="B24" s="3" t="s">
        <v>137</v>
      </c>
      <c r="C24" s="3" t="s">
        <v>137</v>
      </c>
      <c r="D24" s="3" t="s">
        <v>138</v>
      </c>
      <c r="E24" s="1" t="s">
        <v>139</v>
      </c>
      <c r="F24" s="3" t="s">
        <v>140</v>
      </c>
      <c r="G24" s="3" t="s">
        <v>141</v>
      </c>
      <c r="H24" s="2">
        <f t="shared" si="4"/>
        <v>8.6853333465366e-42</v>
      </c>
      <c r="I24" s="2"/>
      <c r="J24"/>
      <c r="K24"/>
      <c r="L24"/>
      <c r="N24">
        <v>42.0417278872639</v>
      </c>
      <c r="O24">
        <v>34.9341289578179</v>
      </c>
      <c r="P24">
        <v>49.9691368403677</v>
      </c>
      <c r="Q24">
        <f t="shared" si="1"/>
        <v>42</v>
      </c>
      <c r="R24">
        <f t="shared" si="2"/>
        <v>34</v>
      </c>
      <c r="S24">
        <f t="shared" si="3"/>
        <v>49</v>
      </c>
    </row>
    <row r="25" spans="1:19">
      <c r="A25" s="1" t="s">
        <v>142</v>
      </c>
      <c r="B25" s="3" t="s">
        <v>143</v>
      </c>
      <c r="C25" s="3" t="s">
        <v>143</v>
      </c>
      <c r="D25" s="3" t="s">
        <v>144</v>
      </c>
      <c r="E25" s="1" t="s">
        <v>145</v>
      </c>
      <c r="F25" s="3" t="s">
        <v>146</v>
      </c>
      <c r="G25" s="3" t="s">
        <v>147</v>
      </c>
      <c r="H25" s="2">
        <f t="shared" si="4"/>
        <v>25.2050899612562</v>
      </c>
      <c r="I25" s="2"/>
      <c r="J25"/>
      <c r="K25"/>
      <c r="L25"/>
      <c r="N25">
        <v>41.6416879836171</v>
      </c>
      <c r="O25">
        <v>50.9826204125489</v>
      </c>
      <c r="P25">
        <v>79.2647044922382</v>
      </c>
      <c r="Q25">
        <f t="shared" si="1"/>
        <v>41</v>
      </c>
      <c r="R25">
        <f t="shared" si="2"/>
        <v>50</v>
      </c>
      <c r="S25">
        <f t="shared" si="3"/>
        <v>79</v>
      </c>
    </row>
    <row r="26" spans="1:19">
      <c r="A26" s="1" t="s">
        <v>148</v>
      </c>
      <c r="B26" s="3" t="s">
        <v>149</v>
      </c>
      <c r="C26" s="3" t="s">
        <v>149</v>
      </c>
      <c r="D26" s="3" t="s">
        <v>150</v>
      </c>
      <c r="E26" s="1" t="s">
        <v>151</v>
      </c>
      <c r="F26" s="3" t="s">
        <v>152</v>
      </c>
      <c r="G26" s="3" t="s">
        <v>153</v>
      </c>
      <c r="H26" s="2">
        <f t="shared" si="4"/>
        <v>9.1167847297176</v>
      </c>
      <c r="I26" s="2"/>
      <c r="J26"/>
      <c r="K26"/>
      <c r="L26"/>
      <c r="N26">
        <v>23.4657776922941</v>
      </c>
      <c r="O26">
        <v>46.8229651994118</v>
      </c>
      <c r="P26">
        <v>18.5543686439893</v>
      </c>
      <c r="Q26">
        <f t="shared" si="1"/>
        <v>23</v>
      </c>
      <c r="R26">
        <f t="shared" si="2"/>
        <v>46</v>
      </c>
      <c r="S26">
        <f t="shared" si="3"/>
        <v>18</v>
      </c>
    </row>
    <row r="27" spans="1:19">
      <c r="A27" s="1" t="s">
        <v>154</v>
      </c>
      <c r="B27" s="3" t="s">
        <v>155</v>
      </c>
      <c r="C27" s="3" t="s">
        <v>155</v>
      </c>
      <c r="D27" s="3" t="s">
        <v>156</v>
      </c>
      <c r="E27" s="1" t="s">
        <v>157</v>
      </c>
      <c r="F27" s="3" t="s">
        <v>158</v>
      </c>
      <c r="G27" s="3" t="s">
        <v>159</v>
      </c>
      <c r="H27" s="4">
        <f t="shared" si="4"/>
        <v>0.714880514233538</v>
      </c>
      <c r="I27" s="1">
        <v>0.03481600061059</v>
      </c>
      <c r="J27">
        <f>(E27/I27)</f>
        <v>34.6982126503432</v>
      </c>
      <c r="K27">
        <f>(F27/I27)</f>
        <v>40.9774803765821</v>
      </c>
      <c r="L27">
        <f>(G27/I27)</f>
        <v>29.2940022436057</v>
      </c>
      <c r="N27">
        <v>39.901994713177</v>
      </c>
      <c r="O27">
        <v>44.8751529583577</v>
      </c>
      <c r="P27">
        <v>42.4358989037669</v>
      </c>
      <c r="Q27">
        <f t="shared" si="1"/>
        <v>39</v>
      </c>
      <c r="R27">
        <f t="shared" si="2"/>
        <v>44</v>
      </c>
      <c r="S27">
        <f t="shared" si="3"/>
        <v>42</v>
      </c>
    </row>
    <row r="28" spans="1:19">
      <c r="A28" s="1" t="s">
        <v>160</v>
      </c>
      <c r="B28" s="3" t="s">
        <v>161</v>
      </c>
      <c r="C28" s="3" t="s">
        <v>161</v>
      </c>
      <c r="D28" s="3" t="s">
        <v>162</v>
      </c>
      <c r="E28" s="1" t="s">
        <v>163</v>
      </c>
      <c r="F28" s="3" t="s">
        <v>164</v>
      </c>
      <c r="G28" s="3" t="s">
        <v>165</v>
      </c>
      <c r="H28" s="2">
        <f t="shared" si="4"/>
        <v>26.7957260242276</v>
      </c>
      <c r="I28" s="2"/>
      <c r="J28"/>
      <c r="K28"/>
      <c r="L28"/>
      <c r="N28">
        <v>24.2342401639127</v>
      </c>
      <c r="O28">
        <v>41.6239937350646</v>
      </c>
      <c r="P28">
        <v>31.8922775574095</v>
      </c>
      <c r="Q28">
        <f t="shared" si="1"/>
        <v>24</v>
      </c>
      <c r="R28">
        <f t="shared" si="2"/>
        <v>41</v>
      </c>
      <c r="S28">
        <f t="shared" si="3"/>
        <v>31</v>
      </c>
    </row>
    <row r="29" spans="1:19">
      <c r="A29" s="1" t="s">
        <v>166</v>
      </c>
      <c r="B29" s="3" t="s">
        <v>65</v>
      </c>
      <c r="C29" s="3" t="s">
        <v>65</v>
      </c>
      <c r="D29" s="3" t="s">
        <v>167</v>
      </c>
      <c r="E29" s="1" t="s">
        <v>168</v>
      </c>
      <c r="F29" s="3" t="s">
        <v>169</v>
      </c>
      <c r="G29" s="3" t="s">
        <v>170</v>
      </c>
      <c r="H29" s="2">
        <f t="shared" si="4"/>
        <v>2.82135639417086</v>
      </c>
      <c r="I29" s="2"/>
      <c r="J29"/>
      <c r="K29"/>
      <c r="L29"/>
      <c r="N29">
        <v>33.6027602778137</v>
      </c>
      <c r="O29">
        <v>42.8872807552796</v>
      </c>
      <c r="P29">
        <v>33.8787284285751</v>
      </c>
      <c r="Q29">
        <f t="shared" si="1"/>
        <v>33</v>
      </c>
      <c r="R29">
        <f t="shared" si="2"/>
        <v>42</v>
      </c>
      <c r="S29">
        <f t="shared" si="3"/>
        <v>33</v>
      </c>
    </row>
    <row r="30" spans="1:19">
      <c r="A30" s="1" t="s">
        <v>171</v>
      </c>
      <c r="B30" s="3" t="s">
        <v>172</v>
      </c>
      <c r="C30" s="3" t="s">
        <v>172</v>
      </c>
      <c r="D30" s="3" t="s">
        <v>173</v>
      </c>
      <c r="E30" s="1" t="s">
        <v>174</v>
      </c>
      <c r="F30" s="3" t="s">
        <v>175</v>
      </c>
      <c r="G30" s="3" t="s">
        <v>176</v>
      </c>
      <c r="H30" s="2">
        <f t="shared" si="4"/>
        <v>83.1695489956459</v>
      </c>
      <c r="I30" s="2"/>
      <c r="J30"/>
      <c r="K30"/>
      <c r="L30"/>
      <c r="N30">
        <v>59.5438976289683</v>
      </c>
      <c r="O30">
        <v>49.8621713657225</v>
      </c>
      <c r="P30">
        <v>33.8603742692223</v>
      </c>
      <c r="Q30">
        <f t="shared" si="1"/>
        <v>59</v>
      </c>
      <c r="R30">
        <f t="shared" si="2"/>
        <v>49</v>
      </c>
      <c r="S30">
        <f t="shared" si="3"/>
        <v>33</v>
      </c>
    </row>
    <row r="31" spans="1:19">
      <c r="A31" s="1" t="s">
        <v>177</v>
      </c>
      <c r="B31" s="3" t="s">
        <v>178</v>
      </c>
      <c r="C31" s="3" t="s">
        <v>178</v>
      </c>
      <c r="D31" s="3" t="s">
        <v>179</v>
      </c>
      <c r="E31" s="1" t="s">
        <v>180</v>
      </c>
      <c r="F31" s="3" t="s">
        <v>181</v>
      </c>
      <c r="G31" s="3" t="s">
        <v>182</v>
      </c>
      <c r="H31" s="2">
        <f t="shared" si="4"/>
        <v>11.8329569870592</v>
      </c>
      <c r="I31" s="2"/>
      <c r="J31"/>
      <c r="K31"/>
      <c r="L31"/>
      <c r="N31">
        <v>60.7039394294251</v>
      </c>
      <c r="O31">
        <v>56.116895923232</v>
      </c>
      <c r="P31">
        <v>54.9189693135636</v>
      </c>
      <c r="Q31">
        <f t="shared" si="1"/>
        <v>60</v>
      </c>
      <c r="R31">
        <f t="shared" si="2"/>
        <v>56</v>
      </c>
      <c r="S31">
        <f t="shared" si="3"/>
        <v>54</v>
      </c>
    </row>
    <row r="32" spans="1:19">
      <c r="A32" s="1" t="s">
        <v>183</v>
      </c>
      <c r="B32" s="3" t="s">
        <v>184</v>
      </c>
      <c r="C32" s="3" t="s">
        <v>184</v>
      </c>
      <c r="D32" s="3" t="s">
        <v>185</v>
      </c>
      <c r="E32" s="1" t="s">
        <v>186</v>
      </c>
      <c r="F32" s="3" t="s">
        <v>187</v>
      </c>
      <c r="G32" s="3" t="s">
        <v>188</v>
      </c>
      <c r="H32" s="2">
        <f t="shared" si="4"/>
        <v>1.66014548756016</v>
      </c>
      <c r="I32" s="2"/>
      <c r="J32"/>
      <c r="K32"/>
      <c r="L32"/>
      <c r="N32">
        <v>43.9293915869392</v>
      </c>
      <c r="O32">
        <v>41.4428510062145</v>
      </c>
      <c r="P32">
        <v>50.666683979053</v>
      </c>
      <c r="Q32">
        <f t="shared" si="1"/>
        <v>43</v>
      </c>
      <c r="R32">
        <f t="shared" si="2"/>
        <v>41</v>
      </c>
      <c r="S32">
        <f t="shared" si="3"/>
        <v>50</v>
      </c>
    </row>
    <row r="33" spans="1:19">
      <c r="A33" s="1" t="s">
        <v>189</v>
      </c>
      <c r="B33" s="3" t="s">
        <v>190</v>
      </c>
      <c r="C33" s="3" t="s">
        <v>190</v>
      </c>
      <c r="D33" s="3" t="s">
        <v>191</v>
      </c>
      <c r="E33" s="1" t="s">
        <v>192</v>
      </c>
      <c r="F33" s="3" t="s">
        <v>193</v>
      </c>
      <c r="G33" s="3" t="s">
        <v>194</v>
      </c>
      <c r="H33" s="2">
        <f t="shared" si="4"/>
        <v>42.776198180786</v>
      </c>
      <c r="I33" s="2"/>
      <c r="J33"/>
      <c r="K33"/>
      <c r="L33"/>
      <c r="N33">
        <v>39.9606208378811</v>
      </c>
      <c r="O33">
        <v>49.0307088091068</v>
      </c>
      <c r="P33">
        <v>53.9783659929461</v>
      </c>
      <c r="Q33">
        <f t="shared" si="1"/>
        <v>39</v>
      </c>
      <c r="R33">
        <f t="shared" si="2"/>
        <v>49</v>
      </c>
      <c r="S33">
        <f t="shared" si="3"/>
        <v>53</v>
      </c>
    </row>
    <row r="34" spans="1:19">
      <c r="A34" s="1" t="s">
        <v>195</v>
      </c>
      <c r="B34" s="3" t="s">
        <v>196</v>
      </c>
      <c r="C34" s="3" t="s">
        <v>196</v>
      </c>
      <c r="D34" s="3" t="s">
        <v>197</v>
      </c>
      <c r="E34" s="1" t="s">
        <v>198</v>
      </c>
      <c r="F34" s="3" t="s">
        <v>199</v>
      </c>
      <c r="G34" s="3" t="s">
        <v>200</v>
      </c>
      <c r="H34" s="2">
        <f t="shared" si="4"/>
        <v>378.719443974706</v>
      </c>
      <c r="I34" s="2"/>
      <c r="J34"/>
      <c r="K34"/>
      <c r="L34"/>
      <c r="N34">
        <v>26.0754524497001</v>
      </c>
      <c r="O34">
        <v>39.6294990311487</v>
      </c>
      <c r="P34">
        <v>33.0001042615669</v>
      </c>
      <c r="Q34">
        <f t="shared" si="1"/>
        <v>26</v>
      </c>
      <c r="R34">
        <f t="shared" si="2"/>
        <v>39</v>
      </c>
      <c r="S34">
        <f t="shared" si="3"/>
        <v>33</v>
      </c>
    </row>
    <row r="35" spans="1:19">
      <c r="A35" s="1" t="s">
        <v>201</v>
      </c>
      <c r="B35" s="3" t="s">
        <v>202</v>
      </c>
      <c r="C35" s="3" t="s">
        <v>202</v>
      </c>
      <c r="D35" s="3" t="s">
        <v>203</v>
      </c>
      <c r="E35" s="1" t="s">
        <v>204</v>
      </c>
      <c r="F35" s="3" t="s">
        <v>205</v>
      </c>
      <c r="G35" s="3" t="s">
        <v>206</v>
      </c>
      <c r="H35" s="2">
        <f t="shared" si="4"/>
        <v>3.558806550069</v>
      </c>
      <c r="I35" s="2"/>
      <c r="J35"/>
      <c r="K35"/>
      <c r="L35"/>
      <c r="N35">
        <v>42.4916817303029</v>
      </c>
      <c r="O35">
        <v>43.510574694634</v>
      </c>
      <c r="P35">
        <v>42.2586364739857</v>
      </c>
      <c r="Q35">
        <f t="shared" si="1"/>
        <v>42</v>
      </c>
      <c r="R35">
        <f t="shared" si="2"/>
        <v>43</v>
      </c>
      <c r="S35">
        <f t="shared" si="3"/>
        <v>42</v>
      </c>
    </row>
    <row r="36" spans="1:19">
      <c r="A36" s="1" t="s">
        <v>207</v>
      </c>
      <c r="B36" s="3" t="s">
        <v>208</v>
      </c>
      <c r="C36" s="3" t="s">
        <v>208</v>
      </c>
      <c r="D36" s="3" t="s">
        <v>209</v>
      </c>
      <c r="E36" s="1" t="s">
        <v>210</v>
      </c>
      <c r="F36" s="3" t="s">
        <v>211</v>
      </c>
      <c r="G36" s="3" t="s">
        <v>212</v>
      </c>
      <c r="H36" s="2">
        <f t="shared" si="4"/>
        <v>55.9027519883473</v>
      </c>
      <c r="I36" s="2"/>
      <c r="J36"/>
      <c r="K36"/>
      <c r="L36"/>
      <c r="N36">
        <v>35.7547805127845</v>
      </c>
      <c r="O36">
        <v>44.443304121363</v>
      </c>
      <c r="P36">
        <v>39.6379368472749</v>
      </c>
      <c r="Q36">
        <f t="shared" si="1"/>
        <v>35</v>
      </c>
      <c r="R36">
        <f t="shared" si="2"/>
        <v>44</v>
      </c>
      <c r="S36">
        <f t="shared" si="3"/>
        <v>39</v>
      </c>
    </row>
    <row r="37" spans="1:19">
      <c r="A37" s="1" t="s">
        <v>213</v>
      </c>
      <c r="B37" s="3" t="s">
        <v>214</v>
      </c>
      <c r="C37" s="3" t="s">
        <v>214</v>
      </c>
      <c r="D37" s="3" t="s">
        <v>215</v>
      </c>
      <c r="E37" s="1" t="s">
        <v>216</v>
      </c>
      <c r="F37" s="3" t="s">
        <v>217</v>
      </c>
      <c r="G37" s="3" t="s">
        <v>218</v>
      </c>
      <c r="H37" s="2">
        <f t="shared" si="4"/>
        <v>4.31217983599534</v>
      </c>
      <c r="I37" s="2"/>
      <c r="J37"/>
      <c r="K37"/>
      <c r="L37"/>
      <c r="N37">
        <v>16.435291698789</v>
      </c>
      <c r="O37">
        <v>25.7942067695797</v>
      </c>
      <c r="P37">
        <v>27.9950603051563</v>
      </c>
      <c r="Q37">
        <f t="shared" si="1"/>
        <v>16</v>
      </c>
      <c r="R37">
        <f t="shared" si="2"/>
        <v>25</v>
      </c>
      <c r="S37">
        <f t="shared" si="3"/>
        <v>27</v>
      </c>
    </row>
    <row r="38" spans="1:19">
      <c r="A38" s="1" t="s">
        <v>219</v>
      </c>
      <c r="B38" s="3" t="s">
        <v>220</v>
      </c>
      <c r="C38" s="3" t="s">
        <v>220</v>
      </c>
      <c r="D38" s="3" t="s">
        <v>221</v>
      </c>
      <c r="E38" s="1" t="s">
        <v>222</v>
      </c>
      <c r="F38" s="3" t="s">
        <v>223</v>
      </c>
      <c r="G38" s="3" t="s">
        <v>224</v>
      </c>
      <c r="H38" s="2">
        <f t="shared" si="4"/>
        <v>13.9255579354208</v>
      </c>
      <c r="I38" s="2"/>
      <c r="J38"/>
      <c r="K38"/>
      <c r="L38"/>
      <c r="N38">
        <v>33.8600131380191</v>
      </c>
      <c r="O38">
        <v>36.8159883852123</v>
      </c>
      <c r="P38">
        <v>45.5743223389017</v>
      </c>
      <c r="Q38">
        <f t="shared" si="1"/>
        <v>33</v>
      </c>
      <c r="R38">
        <f t="shared" si="2"/>
        <v>36</v>
      </c>
      <c r="S38">
        <f t="shared" si="3"/>
        <v>45</v>
      </c>
    </row>
    <row r="39" spans="1:19">
      <c r="A39" s="1" t="s">
        <v>225</v>
      </c>
      <c r="B39" s="3" t="s">
        <v>226</v>
      </c>
      <c r="C39" s="3" t="s">
        <v>226</v>
      </c>
      <c r="D39" s="3" t="s">
        <v>227</v>
      </c>
      <c r="E39" s="1" t="s">
        <v>228</v>
      </c>
      <c r="F39" s="3" t="s">
        <v>229</v>
      </c>
      <c r="G39" s="3" t="s">
        <v>230</v>
      </c>
      <c r="H39" s="2">
        <f t="shared" si="4"/>
        <v>19.9935683867397</v>
      </c>
      <c r="I39" s="2"/>
      <c r="J39"/>
      <c r="K39"/>
      <c r="L39"/>
      <c r="N39">
        <v>35.3086112167339</v>
      </c>
      <c r="O39">
        <v>41.4323370839645</v>
      </c>
      <c r="P39">
        <v>33.7443953061393</v>
      </c>
      <c r="Q39">
        <f t="shared" si="1"/>
        <v>35</v>
      </c>
      <c r="R39">
        <f t="shared" si="2"/>
        <v>41</v>
      </c>
      <c r="S39">
        <f t="shared" si="3"/>
        <v>33</v>
      </c>
    </row>
    <row r="40" spans="1:19">
      <c r="A40" s="1" t="s">
        <v>231</v>
      </c>
      <c r="B40" s="3" t="s">
        <v>232</v>
      </c>
      <c r="C40" s="3" t="s">
        <v>232</v>
      </c>
      <c r="D40" s="3" t="s">
        <v>233</v>
      </c>
      <c r="E40" s="1" t="s">
        <v>234</v>
      </c>
      <c r="F40" s="3" t="s">
        <v>235</v>
      </c>
      <c r="G40" s="3" t="s">
        <v>236</v>
      </c>
      <c r="H40" s="2">
        <f t="shared" si="4"/>
        <v>3.61518403962944</v>
      </c>
      <c r="I40" s="2"/>
      <c r="J40"/>
      <c r="K40"/>
      <c r="L40"/>
      <c r="N40">
        <v>39.9487797686233</v>
      </c>
      <c r="O40">
        <v>38.735451142918</v>
      </c>
      <c r="P40">
        <v>42.3017399211876</v>
      </c>
      <c r="Q40">
        <f t="shared" si="1"/>
        <v>39</v>
      </c>
      <c r="R40">
        <f t="shared" si="2"/>
        <v>38</v>
      </c>
      <c r="S40">
        <f t="shared" si="3"/>
        <v>42</v>
      </c>
    </row>
    <row r="41" spans="1:19">
      <c r="A41" s="1" t="s">
        <v>237</v>
      </c>
      <c r="B41" s="3" t="s">
        <v>238</v>
      </c>
      <c r="C41" s="3" t="s">
        <v>238</v>
      </c>
      <c r="D41" s="3" t="s">
        <v>239</v>
      </c>
      <c r="E41" s="1" t="s">
        <v>240</v>
      </c>
      <c r="F41" s="3" t="s">
        <v>241</v>
      </c>
      <c r="G41" s="3" t="s">
        <v>242</v>
      </c>
      <c r="H41" s="2">
        <f t="shared" si="4"/>
        <v>222.797025943819</v>
      </c>
      <c r="I41" s="2"/>
    </row>
    <row r="42" spans="1:19">
      <c r="A42" s="1" t="s">
        <v>243</v>
      </c>
      <c r="B42" s="3" t="s">
        <v>244</v>
      </c>
      <c r="C42" s="3" t="s">
        <v>244</v>
      </c>
      <c r="D42" s="3" t="s">
        <v>245</v>
      </c>
      <c r="E42" s="1" t="s">
        <v>246</v>
      </c>
      <c r="F42" s="3" t="s">
        <v>247</v>
      </c>
      <c r="G42" s="3" t="s">
        <v>248</v>
      </c>
      <c r="H42" s="2">
        <f t="shared" si="4"/>
        <v>2.10258064235161</v>
      </c>
      <c r="I42" s="2"/>
    </row>
    <row r="43" spans="1:19">
      <c r="A43" s="1" t="s">
        <v>249</v>
      </c>
      <c r="B43" s="3" t="s">
        <v>250</v>
      </c>
      <c r="C43" s="3" t="s">
        <v>250</v>
      </c>
      <c r="D43" s="3" t="s">
        <v>251</v>
      </c>
      <c r="E43" s="1" t="s">
        <v>252</v>
      </c>
      <c r="F43" s="3" t="s">
        <v>253</v>
      </c>
      <c r="G43" s="3" t="s">
        <v>254</v>
      </c>
      <c r="H43" s="2">
        <f t="shared" si="4"/>
        <v>227.27741287513</v>
      </c>
      <c r="I43" s="2"/>
    </row>
    <row r="44" spans="1:19">
      <c r="A44" s="1" t="s">
        <v>255</v>
      </c>
      <c r="B44" s="3" t="s">
        <v>256</v>
      </c>
      <c r="C44" s="3" t="s">
        <v>256</v>
      </c>
      <c r="D44" s="3" t="s">
        <v>257</v>
      </c>
      <c r="E44" s="1" t="s">
        <v>258</v>
      </c>
      <c r="F44" s="3" t="s">
        <v>259</v>
      </c>
      <c r="G44" s="3" t="s">
        <v>260</v>
      </c>
      <c r="H44" s="2">
        <f t="shared" si="4"/>
        <v>6.81109566127708</v>
      </c>
      <c r="I44" s="2"/>
    </row>
    <row r="45" spans="1:19">
      <c r="A45" s="1" t="s">
        <v>261</v>
      </c>
      <c r="B45" s="3" t="s">
        <v>262</v>
      </c>
      <c r="C45" s="3" t="s">
        <v>262</v>
      </c>
      <c r="D45" s="3" t="s">
        <v>263</v>
      </c>
      <c r="E45" s="1" t="s">
        <v>264</v>
      </c>
      <c r="F45" s="3" t="s">
        <v>265</v>
      </c>
      <c r="G45" s="3" t="s">
        <v>266</v>
      </c>
      <c r="H45" s="2">
        <f t="shared" si="4"/>
        <v>1.53621480840827</v>
      </c>
      <c r="I45" s="2"/>
    </row>
    <row r="46" spans="1:19">
      <c r="A46" s="1" t="s">
        <v>267</v>
      </c>
      <c r="B46" s="3" t="s">
        <v>268</v>
      </c>
      <c r="C46" s="3" t="s">
        <v>268</v>
      </c>
      <c r="D46" s="3" t="s">
        <v>269</v>
      </c>
      <c r="E46" s="1" t="s">
        <v>270</v>
      </c>
      <c r="F46" s="3" t="s">
        <v>271</v>
      </c>
      <c r="G46" s="3" t="s">
        <v>272</v>
      </c>
      <c r="H46" s="2">
        <f t="shared" si="4"/>
        <v>1.34977553847559</v>
      </c>
      <c r="I46" s="2"/>
    </row>
    <row r="47" spans="1:19">
      <c r="A47" s="1" t="s">
        <v>273</v>
      </c>
      <c r="B47" s="3" t="s">
        <v>274</v>
      </c>
      <c r="C47" s="3" t="s">
        <v>274</v>
      </c>
      <c r="D47" s="3" t="s">
        <v>275</v>
      </c>
      <c r="E47" s="1" t="s">
        <v>276</v>
      </c>
      <c r="F47" s="3" t="s">
        <v>277</v>
      </c>
      <c r="G47" s="3" t="s">
        <v>278</v>
      </c>
      <c r="H47" s="2">
        <f t="shared" si="4"/>
        <v>15.4597744934585</v>
      </c>
      <c r="I47" s="2"/>
    </row>
    <row r="48" spans="1:19">
      <c r="A48" s="1" t="s">
        <v>279</v>
      </c>
      <c r="B48" s="3" t="s">
        <v>280</v>
      </c>
      <c r="C48" s="3" t="s">
        <v>280</v>
      </c>
      <c r="D48" s="3" t="s">
        <v>281</v>
      </c>
      <c r="E48" s="1" t="s">
        <v>282</v>
      </c>
      <c r="F48" s="3" t="s">
        <v>283</v>
      </c>
      <c r="G48" s="3" t="s">
        <v>284</v>
      </c>
      <c r="H48" s="4">
        <f t="shared" si="4"/>
        <v>0.516289067175207</v>
      </c>
      <c r="I48" s="1">
        <v>0.354303985834122</v>
      </c>
      <c r="J48">
        <f>(E48/I48)</f>
        <v>24.4819278243481</v>
      </c>
      <c r="K48">
        <f>(F48/I48)</f>
        <v>45.5619440989415</v>
      </c>
      <c r="L48">
        <f>(G48/I48)</f>
        <v>23.5231336175314</v>
      </c>
    </row>
    <row r="49" spans="1:12">
      <c r="A49" s="1" t="s">
        <v>285</v>
      </c>
      <c r="B49" s="3" t="s">
        <v>286</v>
      </c>
      <c r="C49" s="3" t="s">
        <v>286</v>
      </c>
      <c r="D49" s="3" t="s">
        <v>287</v>
      </c>
      <c r="E49" s="1" t="s">
        <v>288</v>
      </c>
      <c r="F49" s="3" t="s">
        <v>289</v>
      </c>
      <c r="G49" s="3" t="s">
        <v>290</v>
      </c>
      <c r="H49" s="2">
        <f t="shared" si="4"/>
        <v>1.50597903125277</v>
      </c>
      <c r="I49" s="2"/>
    </row>
    <row r="50" spans="1:12">
      <c r="A50" s="1" t="s">
        <v>291</v>
      </c>
      <c r="B50" s="3" t="s">
        <v>292</v>
      </c>
      <c r="C50" s="3" t="s">
        <v>292</v>
      </c>
      <c r="D50" s="3" t="s">
        <v>293</v>
      </c>
      <c r="E50" s="1" t="s">
        <v>294</v>
      </c>
      <c r="F50" s="3" t="s">
        <v>295</v>
      </c>
      <c r="G50" s="3" t="s">
        <v>296</v>
      </c>
      <c r="H50" s="4">
        <f t="shared" si="4"/>
        <v>0.562531936461376</v>
      </c>
      <c r="I50" s="1">
        <v>0.135168001055717</v>
      </c>
      <c r="J50">
        <f>(E50/I50)</f>
        <v>27.2651366650825</v>
      </c>
      <c r="K50">
        <f>(F50/I50)</f>
        <v>44.4688816665823</v>
      </c>
      <c r="L50">
        <f>(G50/I50)</f>
        <v>25.0151661161743</v>
      </c>
    </row>
    <row r="51" spans="1:12">
      <c r="A51" s="1" t="s">
        <v>297</v>
      </c>
      <c r="B51" s="3" t="s">
        <v>298</v>
      </c>
      <c r="C51" s="3" t="s">
        <v>298</v>
      </c>
      <c r="D51" s="3" t="s">
        <v>299</v>
      </c>
      <c r="E51" s="1" t="s">
        <v>300</v>
      </c>
      <c r="F51" s="3" t="s">
        <v>301</v>
      </c>
      <c r="G51" s="3" t="s">
        <v>302</v>
      </c>
      <c r="H51" s="2">
        <f t="shared" si="4"/>
        <v>1.62442829901873</v>
      </c>
      <c r="I51" s="2"/>
    </row>
    <row r="52" spans="1:12">
      <c r="A52" s="1" t="s">
        <v>303</v>
      </c>
      <c r="B52" s="3" t="s">
        <v>304</v>
      </c>
      <c r="C52" s="3" t="s">
        <v>304</v>
      </c>
      <c r="D52" s="3" t="s">
        <v>305</v>
      </c>
      <c r="E52" s="1" t="s">
        <v>306</v>
      </c>
      <c r="F52" s="3" t="s">
        <v>307</v>
      </c>
      <c r="G52" s="3" t="s">
        <v>308</v>
      </c>
      <c r="H52" s="2">
        <f t="shared" si="4"/>
        <v>4.33727123395039</v>
      </c>
      <c r="I52" s="2"/>
    </row>
    <row r="53" spans="1:12">
      <c r="A53" s="1" t="s">
        <v>309</v>
      </c>
      <c r="B53" s="3" t="s">
        <v>214</v>
      </c>
      <c r="C53" s="3" t="s">
        <v>214</v>
      </c>
      <c r="D53" s="3" t="s">
        <v>215</v>
      </c>
      <c r="E53" s="1" t="s">
        <v>310</v>
      </c>
      <c r="F53" s="3" t="s">
        <v>311</v>
      </c>
      <c r="G53" s="3" t="s">
        <v>312</v>
      </c>
      <c r="H53" s="2">
        <f t="shared" si="4"/>
        <v>3.44182149743491</v>
      </c>
      <c r="I53" s="2"/>
    </row>
    <row r="54" spans="1:12">
      <c r="A54" s="1" t="s">
        <v>313</v>
      </c>
      <c r="B54" s="3" t="s">
        <v>314</v>
      </c>
      <c r="C54" s="3" t="s">
        <v>314</v>
      </c>
      <c r="D54" s="3" t="s">
        <v>315</v>
      </c>
      <c r="E54" s="1" t="s">
        <v>316</v>
      </c>
      <c r="F54" s="3" t="s">
        <v>317</v>
      </c>
      <c r="G54" s="3" t="s">
        <v>318</v>
      </c>
      <c r="H54" s="2">
        <f t="shared" si="4"/>
        <v>7.31024674093008</v>
      </c>
      <c r="I54" s="2"/>
    </row>
    <row r="55" spans="1:12">
      <c r="A55" s="1" t="s">
        <v>319</v>
      </c>
      <c r="B55" s="3" t="s">
        <v>320</v>
      </c>
      <c r="C55" s="3" t="s">
        <v>320</v>
      </c>
      <c r="D55" s="3" t="s">
        <v>321</v>
      </c>
      <c r="E55" s="1" t="s">
        <v>322</v>
      </c>
      <c r="F55" s="3" t="s">
        <v>323</v>
      </c>
      <c r="G55" s="3" t="s">
        <v>324</v>
      </c>
      <c r="H55" s="2">
        <f t="shared" si="4"/>
        <v>2.61624023898559</v>
      </c>
      <c r="I55" s="2"/>
    </row>
    <row r="56" spans="1:12">
      <c r="A56" s="1" t="s">
        <v>325</v>
      </c>
      <c r="B56" s="3" t="s">
        <v>326</v>
      </c>
      <c r="C56" s="3" t="s">
        <v>326</v>
      </c>
      <c r="D56" s="3" t="s">
        <v>327</v>
      </c>
      <c r="E56" s="1" t="s">
        <v>328</v>
      </c>
      <c r="F56" s="3" t="s">
        <v>329</v>
      </c>
      <c r="G56" s="3" t="s">
        <v>330</v>
      </c>
      <c r="H56" s="2">
        <f t="shared" si="4"/>
        <v>3.20843888504125</v>
      </c>
      <c r="I56" s="2"/>
    </row>
    <row r="57" spans="1:12">
      <c r="A57" s="1" t="s">
        <v>331</v>
      </c>
      <c r="B57" s="3" t="s">
        <v>332</v>
      </c>
      <c r="C57" s="3" t="s">
        <v>332</v>
      </c>
      <c r="D57" s="3" t="s">
        <v>333</v>
      </c>
      <c r="E57" s="1" t="s">
        <v>334</v>
      </c>
      <c r="F57" s="3" t="s">
        <v>335</v>
      </c>
      <c r="G57" s="3" t="s">
        <v>336</v>
      </c>
      <c r="H57" s="4">
        <f t="shared" si="4"/>
        <v>0.730835364816405</v>
      </c>
      <c r="I57" s="1">
        <v>0.0430079996585846</v>
      </c>
      <c r="J57">
        <f>(E57/I57)</f>
        <v>36.2191463014919</v>
      </c>
      <c r="K57">
        <f>(F57/I57)</f>
        <v>47.4993974814099</v>
      </c>
      <c r="L57">
        <f>(G57/I57)</f>
        <v>34.7142394868856</v>
      </c>
    </row>
    <row r="58" spans="1:12">
      <c r="A58" s="1" t="s">
        <v>337</v>
      </c>
      <c r="B58" s="3" t="s">
        <v>338</v>
      </c>
      <c r="C58" s="3" t="s">
        <v>338</v>
      </c>
      <c r="D58" s="3" t="s">
        <v>339</v>
      </c>
      <c r="E58" s="1" t="s">
        <v>340</v>
      </c>
      <c r="F58" s="3" t="s">
        <v>341</v>
      </c>
      <c r="G58" s="3" t="s">
        <v>342</v>
      </c>
      <c r="H58" s="4">
        <f t="shared" si="4"/>
        <v>0.806236053120215</v>
      </c>
      <c r="I58" s="1">
        <v>0.03481600061059</v>
      </c>
      <c r="J58">
        <f>(E58/I58)</f>
        <v>31.9302911913084</v>
      </c>
      <c r="K58">
        <f>(F58/I58)</f>
        <v>40.3471119638246</v>
      </c>
      <c r="L58">
        <f>(G58/I58)</f>
        <v>32.5292963045134</v>
      </c>
    </row>
    <row r="59" spans="1:12">
      <c r="A59" s="1" t="s">
        <v>343</v>
      </c>
      <c r="B59" s="3" t="s">
        <v>344</v>
      </c>
      <c r="C59" s="3" t="s">
        <v>344</v>
      </c>
      <c r="D59" s="3" t="s">
        <v>345</v>
      </c>
      <c r="E59" s="1" t="s">
        <v>346</v>
      </c>
      <c r="F59" s="3" t="s">
        <v>347</v>
      </c>
      <c r="G59" s="3" t="s">
        <v>348</v>
      </c>
      <c r="H59" s="4">
        <f t="shared" si="4"/>
        <v>0.825147953036336</v>
      </c>
      <c r="I59" s="1">
        <v>0.0430079996585846</v>
      </c>
      <c r="J59">
        <f>(E59/I59)</f>
        <v>28.0826133022521</v>
      </c>
      <c r="K59">
        <f>(F59/I59)</f>
        <v>41.550990257839</v>
      </c>
      <c r="L59">
        <f>(G59/I59)</f>
        <v>34.2857145578886</v>
      </c>
    </row>
    <row r="60" spans="1:12">
      <c r="A60" s="1" t="s">
        <v>349</v>
      </c>
      <c r="B60" s="3" t="s">
        <v>350</v>
      </c>
      <c r="C60" s="3" t="s">
        <v>350</v>
      </c>
      <c r="D60" s="3" t="s">
        <v>351</v>
      </c>
      <c r="E60" s="1" t="s">
        <v>352</v>
      </c>
      <c r="F60" s="3" t="s">
        <v>353</v>
      </c>
      <c r="G60" s="3" t="s">
        <v>354</v>
      </c>
      <c r="H60" s="2">
        <f t="shared" si="4"/>
        <v>2.65203884466439</v>
      </c>
      <c r="I60" s="2"/>
    </row>
    <row r="61" spans="1:12">
      <c r="A61" s="1" t="s">
        <v>355</v>
      </c>
      <c r="B61" s="3" t="s">
        <v>77</v>
      </c>
      <c r="C61" s="3" t="s">
        <v>77</v>
      </c>
      <c r="D61" s="3" t="s">
        <v>356</v>
      </c>
      <c r="E61" s="1" t="s">
        <v>357</v>
      </c>
      <c r="F61" s="3" t="s">
        <v>358</v>
      </c>
      <c r="G61" s="3" t="s">
        <v>359</v>
      </c>
      <c r="H61" s="2">
        <f t="shared" si="4"/>
        <v>27.4584301267748</v>
      </c>
      <c r="I61" s="2"/>
    </row>
    <row r="62" spans="1:12">
      <c r="A62" s="1" t="s">
        <v>360</v>
      </c>
      <c r="B62" s="3" t="s">
        <v>361</v>
      </c>
      <c r="C62" s="3" t="s">
        <v>361</v>
      </c>
      <c r="D62" s="3" t="s">
        <v>362</v>
      </c>
      <c r="E62" s="1" t="s">
        <v>363</v>
      </c>
      <c r="F62" s="3" t="s">
        <v>364</v>
      </c>
      <c r="G62" s="3" t="s">
        <v>365</v>
      </c>
      <c r="H62" s="4">
        <f t="shared" si="4"/>
        <v>0.378491237926638</v>
      </c>
      <c r="I62" s="1">
        <v>0.0296960007399321</v>
      </c>
      <c r="J62">
        <f>(E62/I62)</f>
        <v>39.3343878871867</v>
      </c>
      <c r="K62">
        <f>(F62/I62)</f>
        <v>55.3923436479855</v>
      </c>
      <c r="L62">
        <f>(G62/I62)</f>
        <v>20.9655167189838</v>
      </c>
    </row>
    <row r="63" spans="1:12">
      <c r="A63" s="1" t="s">
        <v>366</v>
      </c>
      <c r="B63" s="3" t="s">
        <v>367</v>
      </c>
      <c r="C63" s="3" t="s">
        <v>367</v>
      </c>
      <c r="D63" s="3" t="s">
        <v>368</v>
      </c>
      <c r="E63" s="1" t="s">
        <v>369</v>
      </c>
      <c r="F63" s="3" t="s">
        <v>370</v>
      </c>
      <c r="G63" s="3" t="s">
        <v>371</v>
      </c>
      <c r="H63" s="2">
        <f t="shared" si="4"/>
        <v>79.9886857959404</v>
      </c>
      <c r="I63" s="2"/>
    </row>
    <row r="64" spans="1:12">
      <c r="A64" s="1" t="s">
        <v>372</v>
      </c>
      <c r="B64" s="3" t="s">
        <v>373</v>
      </c>
      <c r="C64" s="3" t="s">
        <v>373</v>
      </c>
      <c r="D64" s="3" t="s">
        <v>374</v>
      </c>
      <c r="E64" s="1" t="s">
        <v>375</v>
      </c>
      <c r="F64" s="3" t="s">
        <v>376</v>
      </c>
      <c r="G64" s="3" t="s">
        <v>377</v>
      </c>
      <c r="H64" s="2">
        <f t="shared" si="4"/>
        <v>13.4792658659128</v>
      </c>
      <c r="I64" s="2"/>
    </row>
    <row r="65" spans="1:12">
      <c r="A65" s="1" t="s">
        <v>378</v>
      </c>
      <c r="B65" s="3" t="s">
        <v>379</v>
      </c>
      <c r="C65" s="3" t="s">
        <v>379</v>
      </c>
      <c r="D65" s="3" t="s">
        <v>380</v>
      </c>
      <c r="E65" s="1" t="s">
        <v>381</v>
      </c>
      <c r="F65" s="3" t="s">
        <v>382</v>
      </c>
      <c r="G65" s="3" t="s">
        <v>383</v>
      </c>
      <c r="H65" s="2">
        <f t="shared" si="4"/>
        <v>15.5940078699753</v>
      </c>
      <c r="I65" s="2"/>
    </row>
    <row r="66" spans="1:12">
      <c r="A66" s="1" t="s">
        <v>384</v>
      </c>
      <c r="B66" s="3" t="s">
        <v>385</v>
      </c>
      <c r="C66" s="3" t="s">
        <v>385</v>
      </c>
      <c r="D66" s="3" t="s">
        <v>386</v>
      </c>
      <c r="E66" s="1" t="s">
        <v>387</v>
      </c>
      <c r="F66" s="3" t="s">
        <v>388</v>
      </c>
      <c r="G66" s="3" t="s">
        <v>389</v>
      </c>
      <c r="H66" s="2">
        <f t="shared" si="4"/>
        <v>1.98082582445721</v>
      </c>
      <c r="I66" s="2"/>
    </row>
    <row r="67" spans="1:12">
      <c r="A67" s="1" t="s">
        <v>390</v>
      </c>
      <c r="B67" s="3" t="s">
        <v>391</v>
      </c>
      <c r="C67" s="3" t="s">
        <v>391</v>
      </c>
      <c r="D67" s="3" t="s">
        <v>392</v>
      </c>
      <c r="E67" s="1" t="s">
        <v>393</v>
      </c>
      <c r="F67" s="3" t="s">
        <v>394</v>
      </c>
      <c r="G67" s="3" t="s">
        <v>395</v>
      </c>
      <c r="H67" s="2">
        <f t="shared" si="4"/>
        <v>4.56875515245128</v>
      </c>
      <c r="I67" s="2"/>
    </row>
    <row r="68" spans="1:12">
      <c r="A68" s="1" t="s">
        <v>396</v>
      </c>
      <c r="B68" s="3" t="s">
        <v>65</v>
      </c>
      <c r="C68" s="3" t="s">
        <v>65</v>
      </c>
      <c r="D68" s="3" t="s">
        <v>66</v>
      </c>
      <c r="E68" s="1" t="s">
        <v>397</v>
      </c>
      <c r="F68" s="3" t="s">
        <v>398</v>
      </c>
      <c r="G68" s="3" t="s">
        <v>399</v>
      </c>
      <c r="H68" s="2">
        <f t="shared" si="4"/>
        <v>5.62285298085775</v>
      </c>
      <c r="I68" s="2"/>
    </row>
    <row r="69" spans="1:12">
      <c r="A69" s="1" t="s">
        <v>400</v>
      </c>
      <c r="B69" s="3" t="s">
        <v>401</v>
      </c>
      <c r="C69" s="3" t="s">
        <v>401</v>
      </c>
      <c r="D69" s="3" t="s">
        <v>402</v>
      </c>
      <c r="E69" s="1" t="s">
        <v>403</v>
      </c>
      <c r="F69" s="3" t="s">
        <v>404</v>
      </c>
      <c r="G69" s="3" t="s">
        <v>405</v>
      </c>
      <c r="H69" s="2">
        <f t="shared" si="4"/>
        <v>3.28936381101731</v>
      </c>
      <c r="I69" s="2"/>
    </row>
    <row r="70" spans="1:12">
      <c r="A70" s="1" t="s">
        <v>406</v>
      </c>
      <c r="B70" s="3" t="s">
        <v>407</v>
      </c>
      <c r="C70" s="3" t="s">
        <v>407</v>
      </c>
      <c r="D70" s="3" t="s">
        <v>408</v>
      </c>
      <c r="E70" s="1" t="s">
        <v>409</v>
      </c>
      <c r="F70" s="3" t="s">
        <v>410</v>
      </c>
      <c r="G70" s="3" t="s">
        <v>411</v>
      </c>
      <c r="H70" s="2">
        <f t="shared" si="4"/>
        <v>14.1848889147497</v>
      </c>
      <c r="I70" s="2"/>
    </row>
    <row r="71" spans="1:12">
      <c r="A71" s="1" t="s">
        <v>412</v>
      </c>
      <c r="B71" s="3" t="s">
        <v>413</v>
      </c>
      <c r="C71" s="3" t="s">
        <v>413</v>
      </c>
      <c r="D71" s="3" t="s">
        <v>414</v>
      </c>
      <c r="E71" s="1" t="s">
        <v>415</v>
      </c>
      <c r="F71" s="3" t="s">
        <v>416</v>
      </c>
      <c r="G71" s="3" t="s">
        <v>417</v>
      </c>
      <c r="H71" s="2">
        <f t="shared" si="4"/>
        <v>1273.80602431074</v>
      </c>
      <c r="I71" s="2"/>
    </row>
    <row r="72" spans="1:12">
      <c r="A72" s="1" t="s">
        <v>418</v>
      </c>
      <c r="B72" s="3" t="s">
        <v>419</v>
      </c>
      <c r="C72" s="3" t="s">
        <v>419</v>
      </c>
      <c r="D72" s="3" t="s">
        <v>420</v>
      </c>
      <c r="E72" s="1" t="s">
        <v>421</v>
      </c>
      <c r="F72" s="3" t="s">
        <v>422</v>
      </c>
      <c r="G72" s="3" t="s">
        <v>423</v>
      </c>
      <c r="H72" s="2">
        <f t="shared" si="4"/>
        <v>3.90367837320194</v>
      </c>
      <c r="I72" s="2"/>
    </row>
    <row r="73" spans="1:12">
      <c r="A73" s="1" t="s">
        <v>424</v>
      </c>
      <c r="B73" s="3" t="s">
        <v>425</v>
      </c>
      <c r="C73" s="3" t="s">
        <v>425</v>
      </c>
      <c r="D73" s="3" t="s">
        <v>426</v>
      </c>
      <c r="E73" s="6" t="s">
        <v>427</v>
      </c>
      <c r="F73" s="3" t="s">
        <v>428</v>
      </c>
      <c r="G73" s="3" t="s">
        <v>429</v>
      </c>
      <c r="H73" s="4">
        <f t="shared" si="4"/>
        <v>0.928006376855256</v>
      </c>
      <c r="I73" s="1">
        <v>0.216064006090164</v>
      </c>
      <c r="J73">
        <f>(E73/I73)</f>
        <v>35.5774482562185</v>
      </c>
      <c r="K73">
        <f>(F73/I73)</f>
        <v>35.7490587807702</v>
      </c>
      <c r="L73">
        <f>(G73/I73)</f>
        <v>33.1753545151281</v>
      </c>
    </row>
    <row r="74" spans="1:12">
      <c r="A74" s="1" t="s">
        <v>430</v>
      </c>
      <c r="B74" s="3" t="s">
        <v>137</v>
      </c>
      <c r="C74" s="3" t="s">
        <v>137</v>
      </c>
      <c r="D74" s="3" t="s">
        <v>431</v>
      </c>
      <c r="E74" s="1" t="s">
        <v>432</v>
      </c>
      <c r="F74" s="3" t="s">
        <v>433</v>
      </c>
      <c r="G74" s="3" t="s">
        <v>434</v>
      </c>
      <c r="H74" s="2">
        <f t="shared" ref="H74:H137" si="5">(G74/F74)</f>
        <v>13.6498015805896</v>
      </c>
      <c r="I74" s="2"/>
    </row>
    <row r="75" spans="1:12">
      <c r="A75" s="1" t="s">
        <v>435</v>
      </c>
      <c r="B75" s="3" t="s">
        <v>436</v>
      </c>
      <c r="C75" s="3" t="s">
        <v>436</v>
      </c>
      <c r="D75" s="3" t="s">
        <v>437</v>
      </c>
      <c r="E75" s="1" t="s">
        <v>438</v>
      </c>
      <c r="F75" s="3" t="s">
        <v>439</v>
      </c>
      <c r="G75" s="3" t="s">
        <v>440</v>
      </c>
      <c r="H75" s="4">
        <f t="shared" si="5"/>
        <v>0.697863356575828</v>
      </c>
      <c r="I75" s="1">
        <v>0.0440320000052452</v>
      </c>
      <c r="J75">
        <f>(E75/I75)</f>
        <v>28.6571123754732</v>
      </c>
      <c r="K75">
        <f>(F75/I75)</f>
        <v>44.0212816683939</v>
      </c>
      <c r="L75">
        <f>(G75/I75)</f>
        <v>30.7208393858753</v>
      </c>
    </row>
    <row r="76" spans="1:12">
      <c r="A76" s="1" t="s">
        <v>441</v>
      </c>
      <c r="B76" s="3" t="s">
        <v>442</v>
      </c>
      <c r="C76" s="3" t="s">
        <v>442</v>
      </c>
      <c r="D76" s="3" t="s">
        <v>443</v>
      </c>
      <c r="E76" s="1" t="s">
        <v>444</v>
      </c>
      <c r="F76" s="3" t="s">
        <v>445</v>
      </c>
      <c r="G76" s="3" t="s">
        <v>446</v>
      </c>
      <c r="H76" s="2">
        <f t="shared" si="5"/>
        <v>4.14105909367804</v>
      </c>
      <c r="I76" s="2"/>
    </row>
    <row r="77" spans="1:12">
      <c r="A77" s="1" t="s">
        <v>447</v>
      </c>
      <c r="B77" s="3" t="s">
        <v>448</v>
      </c>
      <c r="C77" s="3" t="s">
        <v>448</v>
      </c>
      <c r="D77" s="3" t="s">
        <v>449</v>
      </c>
      <c r="E77" s="1" t="s">
        <v>450</v>
      </c>
      <c r="F77" s="3" t="s">
        <v>451</v>
      </c>
      <c r="G77" s="3" t="s">
        <v>452</v>
      </c>
      <c r="H77" s="2">
        <f t="shared" si="5"/>
        <v>5.27909268370525</v>
      </c>
      <c r="I77" s="2"/>
    </row>
    <row r="78" spans="1:12">
      <c r="A78" s="1" t="s">
        <v>453</v>
      </c>
      <c r="B78" s="3" t="s">
        <v>454</v>
      </c>
      <c r="C78" s="3" t="s">
        <v>454</v>
      </c>
      <c r="D78" s="3" t="s">
        <v>455</v>
      </c>
      <c r="E78" s="1" t="s">
        <v>456</v>
      </c>
      <c r="F78" s="3" t="s">
        <v>457</v>
      </c>
      <c r="G78" s="3" t="s">
        <v>458</v>
      </c>
      <c r="H78" s="2">
        <f t="shared" si="5"/>
        <v>7.2761933861939</v>
      </c>
      <c r="I78" s="2"/>
    </row>
    <row r="79" spans="1:12">
      <c r="A79" s="1" t="s">
        <v>459</v>
      </c>
      <c r="B79" s="3" t="s">
        <v>460</v>
      </c>
      <c r="C79" s="3" t="s">
        <v>460</v>
      </c>
      <c r="D79" s="3" t="s">
        <v>461</v>
      </c>
      <c r="E79" s="1" t="s">
        <v>462</v>
      </c>
      <c r="F79" s="3" t="s">
        <v>463</v>
      </c>
      <c r="G79" s="3" t="s">
        <v>464</v>
      </c>
      <c r="H79" s="2">
        <f t="shared" si="5"/>
        <v>2.24065057441744</v>
      </c>
      <c r="I79" s="2"/>
    </row>
    <row r="80" spans="1:12">
      <c r="A80" s="1" t="s">
        <v>465</v>
      </c>
      <c r="B80" s="3" t="s">
        <v>466</v>
      </c>
      <c r="C80" s="3" t="s">
        <v>466</v>
      </c>
      <c r="D80" s="3" t="s">
        <v>467</v>
      </c>
      <c r="E80" s="1" t="s">
        <v>468</v>
      </c>
      <c r="F80" s="3" t="s">
        <v>469</v>
      </c>
      <c r="G80" s="3" t="s">
        <v>470</v>
      </c>
      <c r="H80" s="2">
        <f t="shared" si="5"/>
        <v>2.15300379068221</v>
      </c>
      <c r="I80" s="2"/>
    </row>
    <row r="81" spans="1:12">
      <c r="A81" s="1" t="s">
        <v>471</v>
      </c>
      <c r="B81" s="3" t="s">
        <v>472</v>
      </c>
      <c r="C81" s="3" t="s">
        <v>472</v>
      </c>
      <c r="D81" s="3" t="s">
        <v>473</v>
      </c>
      <c r="E81" s="1" t="s">
        <v>474</v>
      </c>
      <c r="F81" s="3" t="s">
        <v>475</v>
      </c>
      <c r="G81" s="3" t="s">
        <v>476</v>
      </c>
      <c r="H81" s="2">
        <f t="shared" si="5"/>
        <v>1.79884079474455</v>
      </c>
      <c r="I81" s="2"/>
    </row>
    <row r="82" spans="1:12">
      <c r="A82" s="1" t="s">
        <v>477</v>
      </c>
      <c r="B82" s="3" t="s">
        <v>478</v>
      </c>
      <c r="C82" s="3" t="s">
        <v>478</v>
      </c>
      <c r="D82" s="3" t="s">
        <v>479</v>
      </c>
      <c r="E82" s="1" t="s">
        <v>480</v>
      </c>
      <c r="F82" s="3" t="s">
        <v>481</v>
      </c>
      <c r="G82" s="3" t="s">
        <v>482</v>
      </c>
      <c r="H82" s="2">
        <f t="shared" si="5"/>
        <v>1.42512779875359</v>
      </c>
      <c r="I82" s="2"/>
    </row>
    <row r="83" spans="1:12">
      <c r="A83" s="1" t="s">
        <v>483</v>
      </c>
      <c r="B83" s="3" t="s">
        <v>484</v>
      </c>
      <c r="C83" s="3" t="s">
        <v>484</v>
      </c>
      <c r="D83" s="3" t="s">
        <v>485</v>
      </c>
      <c r="E83" s="1" t="s">
        <v>486</v>
      </c>
      <c r="F83" s="3" t="s">
        <v>487</v>
      </c>
      <c r="G83" s="3" t="s">
        <v>488</v>
      </c>
      <c r="H83" s="2">
        <f t="shared" si="5"/>
        <v>3.05154291886355</v>
      </c>
      <c r="I83" s="2"/>
    </row>
    <row r="84" spans="1:12">
      <c r="A84" s="1" t="s">
        <v>489</v>
      </c>
      <c r="B84" s="3" t="s">
        <v>490</v>
      </c>
      <c r="C84" s="3" t="s">
        <v>490</v>
      </c>
      <c r="D84" s="3" t="s">
        <v>491</v>
      </c>
      <c r="E84" s="6" t="s">
        <v>492</v>
      </c>
      <c r="F84" s="3" t="s">
        <v>493</v>
      </c>
      <c r="G84" s="3" t="s">
        <v>494</v>
      </c>
      <c r="H84" s="4">
        <f t="shared" si="5"/>
        <v>1.09123969578205</v>
      </c>
      <c r="I84" s="1">
        <v>0.0983040034770966</v>
      </c>
      <c r="J84">
        <f>(E84/I84)</f>
        <v>37.5099576023901</v>
      </c>
      <c r="K84">
        <f>(F84/I84)</f>
        <v>36.3119481830569</v>
      </c>
      <c r="L84">
        <f>(G84/I84)</f>
        <v>39.6250392885326</v>
      </c>
    </row>
    <row r="85" spans="1:12">
      <c r="A85" s="1" t="s">
        <v>495</v>
      </c>
      <c r="B85" s="3" t="s">
        <v>496</v>
      </c>
      <c r="C85" s="3" t="s">
        <v>496</v>
      </c>
      <c r="D85" s="3" t="s">
        <v>497</v>
      </c>
      <c r="E85" s="1" t="s">
        <v>498</v>
      </c>
      <c r="F85" s="3" t="s">
        <v>499</v>
      </c>
      <c r="G85" s="3" t="s">
        <v>500</v>
      </c>
      <c r="H85" s="2">
        <f t="shared" si="5"/>
        <v>2.14681299469943</v>
      </c>
      <c r="I85" s="2"/>
    </row>
    <row r="86" spans="1:12">
      <c r="A86" s="1" t="s">
        <v>501</v>
      </c>
      <c r="B86" s="3" t="s">
        <v>502</v>
      </c>
      <c r="C86" s="3" t="s">
        <v>502</v>
      </c>
      <c r="D86" s="3" t="s">
        <v>503</v>
      </c>
      <c r="E86" s="1" t="s">
        <v>504</v>
      </c>
      <c r="F86" s="3" t="s">
        <v>505</v>
      </c>
      <c r="G86" s="3" t="s">
        <v>506</v>
      </c>
      <c r="H86" s="2">
        <f t="shared" si="5"/>
        <v>2.38079721226781</v>
      </c>
      <c r="I86" s="2"/>
    </row>
    <row r="87" spans="1:12">
      <c r="A87" s="1" t="s">
        <v>507</v>
      </c>
      <c r="B87" s="3" t="s">
        <v>508</v>
      </c>
      <c r="C87" s="3" t="s">
        <v>508</v>
      </c>
      <c r="D87" s="3" t="s">
        <v>509</v>
      </c>
      <c r="E87" s="1" t="s">
        <v>510</v>
      </c>
      <c r="F87" s="3" t="s">
        <v>511</v>
      </c>
      <c r="G87" s="3" t="s">
        <v>512</v>
      </c>
      <c r="H87" s="2">
        <f t="shared" si="5"/>
        <v>73.4670554486928</v>
      </c>
      <c r="I87" s="2"/>
    </row>
    <row r="88" spans="1:12">
      <c r="A88" s="1" t="s">
        <v>513</v>
      </c>
      <c r="B88" s="3" t="s">
        <v>514</v>
      </c>
      <c r="C88" s="3" t="s">
        <v>514</v>
      </c>
      <c r="D88" s="3" t="s">
        <v>515</v>
      </c>
      <c r="E88" s="1" t="s">
        <v>516</v>
      </c>
      <c r="F88" s="3" t="s">
        <v>517</v>
      </c>
      <c r="G88" s="3" t="s">
        <v>518</v>
      </c>
      <c r="H88" s="2">
        <f t="shared" si="5"/>
        <v>16.4414331748619</v>
      </c>
      <c r="I88" s="2"/>
    </row>
    <row r="89" spans="1:12">
      <c r="A89" s="1" t="s">
        <v>519</v>
      </c>
      <c r="B89" s="3" t="s">
        <v>520</v>
      </c>
      <c r="C89" s="3" t="s">
        <v>520</v>
      </c>
      <c r="D89" s="3" t="s">
        <v>521</v>
      </c>
      <c r="E89" s="1" t="s">
        <v>522</v>
      </c>
      <c r="F89" s="3" t="s">
        <v>523</v>
      </c>
      <c r="G89" s="3" t="s">
        <v>524</v>
      </c>
      <c r="H89" s="2">
        <f t="shared" si="5"/>
        <v>6.43818510537483</v>
      </c>
      <c r="I89" s="2"/>
    </row>
    <row r="90" spans="1:12">
      <c r="A90" s="1" t="s">
        <v>525</v>
      </c>
      <c r="B90" s="3" t="s">
        <v>526</v>
      </c>
      <c r="C90" s="3" t="s">
        <v>526</v>
      </c>
      <c r="D90" s="3" t="s">
        <v>527</v>
      </c>
      <c r="E90" s="1" t="s">
        <v>528</v>
      </c>
      <c r="F90" s="3" t="s">
        <v>529</v>
      </c>
      <c r="G90" s="3" t="s">
        <v>530</v>
      </c>
      <c r="H90" s="2">
        <f t="shared" si="5"/>
        <v>326.711839457629</v>
      </c>
      <c r="I90" s="2"/>
    </row>
    <row r="91" spans="1:12">
      <c r="A91" s="1" t="s">
        <v>531</v>
      </c>
      <c r="B91" s="3" t="s">
        <v>532</v>
      </c>
      <c r="C91" s="3" t="s">
        <v>532</v>
      </c>
      <c r="D91" s="3" t="s">
        <v>533</v>
      </c>
      <c r="E91" s="1" t="s">
        <v>534</v>
      </c>
      <c r="F91" s="3" t="s">
        <v>535</v>
      </c>
      <c r="G91" s="3" t="s">
        <v>536</v>
      </c>
      <c r="H91" s="2">
        <f t="shared" si="5"/>
        <v>12.210981917411</v>
      </c>
      <c r="I91" s="2"/>
    </row>
    <row r="92" spans="1:12">
      <c r="A92" s="1" t="s">
        <v>537</v>
      </c>
      <c r="B92" s="3" t="s">
        <v>538</v>
      </c>
      <c r="C92" s="3" t="s">
        <v>538</v>
      </c>
      <c r="D92" s="3" t="s">
        <v>539</v>
      </c>
      <c r="E92" s="1" t="s">
        <v>540</v>
      </c>
      <c r="F92" s="3" t="s">
        <v>541</v>
      </c>
      <c r="G92" s="3" t="s">
        <v>542</v>
      </c>
      <c r="H92" s="2">
        <f t="shared" si="5"/>
        <v>864.818322574283</v>
      </c>
      <c r="I92" s="2"/>
    </row>
    <row r="93" spans="1:12">
      <c r="A93" s="1" t="s">
        <v>543</v>
      </c>
      <c r="B93" s="3" t="s">
        <v>544</v>
      </c>
      <c r="C93" s="3" t="s">
        <v>544</v>
      </c>
      <c r="D93" s="3" t="s">
        <v>545</v>
      </c>
      <c r="E93" s="1" t="s">
        <v>546</v>
      </c>
      <c r="F93" s="3" t="s">
        <v>547</v>
      </c>
      <c r="G93" s="3" t="s">
        <v>548</v>
      </c>
      <c r="H93" s="2">
        <f t="shared" si="5"/>
        <v>1.52308358177981</v>
      </c>
      <c r="I93" s="2"/>
    </row>
    <row r="94" spans="1:12">
      <c r="A94" s="1" t="s">
        <v>549</v>
      </c>
      <c r="B94" s="3" t="s">
        <v>385</v>
      </c>
      <c r="C94" s="3" t="s">
        <v>385</v>
      </c>
      <c r="D94" s="3" t="s">
        <v>386</v>
      </c>
      <c r="E94" s="1" t="s">
        <v>550</v>
      </c>
      <c r="F94" s="3" t="s">
        <v>551</v>
      </c>
      <c r="G94" s="3" t="s">
        <v>552</v>
      </c>
      <c r="H94" s="2">
        <f t="shared" si="5"/>
        <v>1.91191164095252</v>
      </c>
      <c r="I94" s="2"/>
    </row>
    <row r="95" spans="1:12">
      <c r="A95" s="1" t="s">
        <v>553</v>
      </c>
      <c r="B95" s="3" t="s">
        <v>554</v>
      </c>
      <c r="C95" s="3" t="s">
        <v>554</v>
      </c>
      <c r="D95" s="3" t="s">
        <v>555</v>
      </c>
      <c r="E95" s="1" t="s">
        <v>556</v>
      </c>
      <c r="F95" s="3" t="s">
        <v>557</v>
      </c>
      <c r="G95" s="3" t="s">
        <v>558</v>
      </c>
      <c r="H95" s="2">
        <f t="shared" si="5"/>
        <v>4.66712073240984</v>
      </c>
      <c r="I95" s="2"/>
    </row>
    <row r="96" spans="1:12">
      <c r="A96" s="1" t="s">
        <v>559</v>
      </c>
      <c r="B96" s="3" t="s">
        <v>298</v>
      </c>
      <c r="C96" s="3" t="s">
        <v>298</v>
      </c>
      <c r="D96" s="3" t="s">
        <v>299</v>
      </c>
      <c r="E96" s="1" t="s">
        <v>560</v>
      </c>
      <c r="F96" s="3" t="s">
        <v>561</v>
      </c>
      <c r="G96" s="3" t="s">
        <v>562</v>
      </c>
      <c r="H96" s="5">
        <f t="shared" si="5"/>
        <v>1.59527913554622</v>
      </c>
      <c r="I96" s="1"/>
    </row>
    <row r="97" spans="1:12">
      <c r="A97" s="1" t="s">
        <v>563</v>
      </c>
      <c r="B97" s="3" t="s">
        <v>448</v>
      </c>
      <c r="C97" s="3" t="s">
        <v>448</v>
      </c>
      <c r="D97" s="3" t="s">
        <v>564</v>
      </c>
      <c r="E97" s="1" t="s">
        <v>565</v>
      </c>
      <c r="F97" s="3" t="s">
        <v>566</v>
      </c>
      <c r="G97" s="3" t="s">
        <v>567</v>
      </c>
      <c r="H97" s="2">
        <f t="shared" si="5"/>
        <v>1.79969785304061</v>
      </c>
      <c r="I97" s="2"/>
    </row>
    <row r="98" spans="1:12">
      <c r="A98" s="1" t="s">
        <v>568</v>
      </c>
      <c r="B98" s="3" t="s">
        <v>569</v>
      </c>
      <c r="C98" s="3" t="s">
        <v>569</v>
      </c>
      <c r="D98" s="3" t="s">
        <v>570</v>
      </c>
      <c r="E98" s="1" t="s">
        <v>571</v>
      </c>
      <c r="F98" s="3" t="s">
        <v>572</v>
      </c>
      <c r="G98" s="3" t="s">
        <v>573</v>
      </c>
      <c r="H98" s="2">
        <f t="shared" si="5"/>
        <v>2.98425796042841</v>
      </c>
      <c r="I98" s="2"/>
    </row>
    <row r="99" spans="1:12">
      <c r="A99" s="1" t="s">
        <v>574</v>
      </c>
      <c r="B99" s="3" t="s">
        <v>575</v>
      </c>
      <c r="C99" s="3" t="s">
        <v>575</v>
      </c>
      <c r="D99" s="3" t="s">
        <v>576</v>
      </c>
      <c r="E99" s="1" t="s">
        <v>577</v>
      </c>
      <c r="F99" s="3" t="s">
        <v>578</v>
      </c>
      <c r="G99" s="3" t="s">
        <v>579</v>
      </c>
      <c r="H99" s="2">
        <f t="shared" si="5"/>
        <v>64.6076104436532</v>
      </c>
      <c r="I99" s="2"/>
    </row>
    <row r="100" spans="1:12">
      <c r="A100" s="1" t="s">
        <v>580</v>
      </c>
      <c r="B100" s="3" t="s">
        <v>385</v>
      </c>
      <c r="C100" s="3" t="s">
        <v>385</v>
      </c>
      <c r="D100" s="3" t="s">
        <v>386</v>
      </c>
      <c r="E100" s="1" t="s">
        <v>581</v>
      </c>
      <c r="F100" s="3" t="s">
        <v>582</v>
      </c>
      <c r="G100" s="3" t="s">
        <v>583</v>
      </c>
      <c r="H100" s="2">
        <f t="shared" si="5"/>
        <v>1.87645572171481</v>
      </c>
      <c r="I100" s="2"/>
    </row>
    <row r="101" spans="1:12">
      <c r="A101" s="1" t="s">
        <v>584</v>
      </c>
      <c r="B101" s="3" t="s">
        <v>585</v>
      </c>
      <c r="C101" s="3" t="s">
        <v>585</v>
      </c>
      <c r="D101" s="3" t="s">
        <v>586</v>
      </c>
      <c r="E101" s="1" t="s">
        <v>587</v>
      </c>
      <c r="F101" s="3" t="s">
        <v>588</v>
      </c>
      <c r="G101" s="3" t="s">
        <v>589</v>
      </c>
      <c r="H101" s="2">
        <f t="shared" si="5"/>
        <v>10.7166056776464</v>
      </c>
      <c r="I101" s="2"/>
    </row>
    <row r="102" spans="1:12">
      <c r="A102" s="1" t="s">
        <v>590</v>
      </c>
      <c r="B102" s="3" t="s">
        <v>591</v>
      </c>
      <c r="C102" s="3" t="s">
        <v>591</v>
      </c>
      <c r="D102" s="3" t="s">
        <v>592</v>
      </c>
      <c r="E102" s="1" t="s">
        <v>593</v>
      </c>
      <c r="F102" s="3" t="s">
        <v>594</v>
      </c>
      <c r="G102" s="3" t="s">
        <v>595</v>
      </c>
      <c r="H102" s="2">
        <f t="shared" si="5"/>
        <v>1.84653093417713</v>
      </c>
      <c r="I102" s="2"/>
    </row>
    <row r="103" spans="1:12">
      <c r="A103" s="1" t="s">
        <v>596</v>
      </c>
      <c r="B103" s="3" t="s">
        <v>597</v>
      </c>
      <c r="C103" s="3" t="s">
        <v>597</v>
      </c>
      <c r="D103" s="3" t="s">
        <v>598</v>
      </c>
      <c r="E103" s="1" t="s">
        <v>599</v>
      </c>
      <c r="F103" s="3" t="s">
        <v>600</v>
      </c>
      <c r="G103" s="3" t="s">
        <v>601</v>
      </c>
      <c r="H103" s="2">
        <f t="shared" si="5"/>
        <v>7.84883142750685</v>
      </c>
      <c r="I103" s="2"/>
    </row>
    <row r="104" spans="1:12">
      <c r="A104" s="1" t="s">
        <v>602</v>
      </c>
      <c r="B104" s="3" t="s">
        <v>603</v>
      </c>
      <c r="C104" s="3" t="s">
        <v>603</v>
      </c>
      <c r="D104" s="3" t="s">
        <v>604</v>
      </c>
      <c r="E104" s="1" t="s">
        <v>605</v>
      </c>
      <c r="F104" s="3" t="s">
        <v>606</v>
      </c>
      <c r="G104" s="3" t="s">
        <v>607</v>
      </c>
      <c r="H104" s="2">
        <f t="shared" si="5"/>
        <v>3.04054558428983</v>
      </c>
      <c r="I104" s="2"/>
    </row>
    <row r="105" spans="1:12">
      <c r="A105" s="1" t="s">
        <v>608</v>
      </c>
      <c r="B105" s="3" t="s">
        <v>609</v>
      </c>
      <c r="C105" s="3" t="s">
        <v>609</v>
      </c>
      <c r="D105" s="3" t="s">
        <v>610</v>
      </c>
      <c r="E105" s="1" t="s">
        <v>611</v>
      </c>
      <c r="F105" s="3" t="s">
        <v>612</v>
      </c>
      <c r="G105" s="3" t="s">
        <v>613</v>
      </c>
      <c r="H105" s="2">
        <f t="shared" si="5"/>
        <v>4.17767205849425</v>
      </c>
      <c r="I105" s="2"/>
    </row>
    <row r="106" spans="1:12">
      <c r="A106" s="1" t="s">
        <v>614</v>
      </c>
      <c r="B106" s="3" t="s">
        <v>615</v>
      </c>
      <c r="C106" s="3" t="s">
        <v>615</v>
      </c>
      <c r="D106" s="3" t="s">
        <v>616</v>
      </c>
      <c r="E106" s="1" t="s">
        <v>617</v>
      </c>
      <c r="F106" s="3" t="s">
        <v>618</v>
      </c>
      <c r="G106" s="3" t="s">
        <v>619</v>
      </c>
      <c r="H106" s="2">
        <f t="shared" si="5"/>
        <v>99.6113093057811</v>
      </c>
      <c r="I106" s="2"/>
    </row>
    <row r="107" spans="1:12">
      <c r="A107" s="1" t="s">
        <v>620</v>
      </c>
      <c r="B107" s="3" t="s">
        <v>621</v>
      </c>
      <c r="C107" s="3" t="s">
        <v>621</v>
      </c>
      <c r="D107" s="3" t="s">
        <v>622</v>
      </c>
      <c r="E107" s="1" t="s">
        <v>623</v>
      </c>
      <c r="F107" s="3" t="s">
        <v>624</v>
      </c>
      <c r="G107" s="3" t="s">
        <v>625</v>
      </c>
      <c r="H107" s="2">
        <f t="shared" si="5"/>
        <v>3.14282905151991</v>
      </c>
      <c r="I107" s="2"/>
    </row>
    <row r="108" spans="1:12">
      <c r="A108" s="1" t="s">
        <v>626</v>
      </c>
      <c r="B108" s="3" t="s">
        <v>627</v>
      </c>
      <c r="C108" s="3" t="s">
        <v>627</v>
      </c>
      <c r="D108" s="3" t="s">
        <v>628</v>
      </c>
      <c r="E108" s="1" t="s">
        <v>629</v>
      </c>
      <c r="F108" s="3" t="s">
        <v>630</v>
      </c>
      <c r="G108" s="3" t="s">
        <v>631</v>
      </c>
      <c r="H108" s="2">
        <f t="shared" si="5"/>
        <v>8.51701030762821</v>
      </c>
      <c r="I108" s="2"/>
    </row>
    <row r="109" spans="1:12">
      <c r="A109" s="1" t="s">
        <v>632</v>
      </c>
      <c r="B109" s="3" t="s">
        <v>633</v>
      </c>
      <c r="C109" s="3" t="s">
        <v>633</v>
      </c>
      <c r="D109" s="3" t="s">
        <v>634</v>
      </c>
      <c r="E109" s="1" t="s">
        <v>635</v>
      </c>
      <c r="F109" s="3" t="s">
        <v>636</v>
      </c>
      <c r="G109" s="3" t="s">
        <v>637</v>
      </c>
      <c r="H109" s="2">
        <f t="shared" si="5"/>
        <v>261.79479348825</v>
      </c>
      <c r="I109" s="2"/>
    </row>
    <row r="110" spans="1:12">
      <c r="A110" s="1" t="s">
        <v>638</v>
      </c>
      <c r="B110" s="3" t="s">
        <v>639</v>
      </c>
      <c r="C110" s="3" t="s">
        <v>639</v>
      </c>
      <c r="D110" s="3" t="s">
        <v>640</v>
      </c>
      <c r="E110" s="6" t="s">
        <v>641</v>
      </c>
      <c r="F110" s="3" t="s">
        <v>642</v>
      </c>
      <c r="G110" s="3" t="s">
        <v>643</v>
      </c>
      <c r="H110" s="4">
        <f t="shared" si="5"/>
        <v>1.24219343704275</v>
      </c>
      <c r="I110" s="1">
        <v>0.128000006079674</v>
      </c>
      <c r="J110">
        <f>(E110/I110)</f>
        <v>44.2669985279283</v>
      </c>
      <c r="K110">
        <f>(F110/I110)</f>
        <v>34.9510891525954</v>
      </c>
      <c r="L110">
        <f>(G110/I110)</f>
        <v>43.41601356285</v>
      </c>
    </row>
    <row r="111" spans="1:12">
      <c r="A111" s="1" t="s">
        <v>644</v>
      </c>
      <c r="B111" s="3" t="s">
        <v>645</v>
      </c>
      <c r="C111" s="3" t="s">
        <v>645</v>
      </c>
      <c r="D111" s="3" t="s">
        <v>646</v>
      </c>
      <c r="E111" s="1" t="s">
        <v>647</v>
      </c>
      <c r="F111" s="3" t="s">
        <v>648</v>
      </c>
      <c r="G111" s="3" t="s">
        <v>649</v>
      </c>
      <c r="H111" s="2">
        <f t="shared" si="5"/>
        <v>12.4631998047306</v>
      </c>
      <c r="I111" s="2"/>
    </row>
    <row r="112" spans="1:12">
      <c r="A112" s="1" t="s">
        <v>650</v>
      </c>
      <c r="B112" s="3" t="s">
        <v>651</v>
      </c>
      <c r="C112" s="3" t="s">
        <v>651</v>
      </c>
      <c r="D112" s="3" t="s">
        <v>652</v>
      </c>
      <c r="E112" s="1" t="s">
        <v>653</v>
      </c>
      <c r="F112" s="3" t="s">
        <v>654</v>
      </c>
      <c r="G112" s="3" t="s">
        <v>655</v>
      </c>
      <c r="H112" s="2">
        <f t="shared" si="5"/>
        <v>3.73981044732051</v>
      </c>
      <c r="I112" s="2"/>
    </row>
    <row r="113" spans="1:12">
      <c r="A113" s="1" t="s">
        <v>656</v>
      </c>
      <c r="B113" s="3" t="s">
        <v>657</v>
      </c>
      <c r="C113" s="3" t="s">
        <v>657</v>
      </c>
      <c r="D113" s="3" t="s">
        <v>658</v>
      </c>
      <c r="E113" s="1" t="s">
        <v>659</v>
      </c>
      <c r="F113" s="3" t="s">
        <v>660</v>
      </c>
      <c r="G113" s="3" t="s">
        <v>661</v>
      </c>
      <c r="H113" s="2">
        <f t="shared" si="5"/>
        <v>5.03596169783049</v>
      </c>
      <c r="I113" s="2"/>
    </row>
    <row r="114" spans="1:12">
      <c r="A114" s="1" t="s">
        <v>662</v>
      </c>
      <c r="B114" s="3" t="s">
        <v>663</v>
      </c>
      <c r="C114" s="3" t="s">
        <v>663</v>
      </c>
      <c r="D114" s="3" t="s">
        <v>664</v>
      </c>
      <c r="E114" s="1" t="s">
        <v>665</v>
      </c>
      <c r="F114" s="3" t="s">
        <v>666</v>
      </c>
      <c r="G114" s="3" t="s">
        <v>667</v>
      </c>
      <c r="H114" s="2">
        <f t="shared" si="5"/>
        <v>237.807279943345</v>
      </c>
      <c r="I114" s="2"/>
    </row>
    <row r="115" spans="1:12">
      <c r="A115" s="1" t="s">
        <v>668</v>
      </c>
      <c r="B115" s="3" t="s">
        <v>669</v>
      </c>
      <c r="C115" s="3" t="s">
        <v>669</v>
      </c>
      <c r="D115" s="3" t="s">
        <v>670</v>
      </c>
      <c r="E115" s="1" t="s">
        <v>671</v>
      </c>
      <c r="F115" s="3" t="s">
        <v>672</v>
      </c>
      <c r="G115" s="3" t="s">
        <v>673</v>
      </c>
      <c r="H115" s="2">
        <f t="shared" si="5"/>
        <v>9.21425246251379</v>
      </c>
      <c r="I115" s="2"/>
    </row>
    <row r="116" spans="1:12">
      <c r="A116" s="1" t="s">
        <v>674</v>
      </c>
      <c r="B116" s="3" t="s">
        <v>675</v>
      </c>
      <c r="C116" s="3" t="s">
        <v>675</v>
      </c>
      <c r="D116" s="3" t="s">
        <v>676</v>
      </c>
      <c r="E116" s="1" t="s">
        <v>677</v>
      </c>
      <c r="F116" s="3" t="s">
        <v>678</v>
      </c>
      <c r="G116" s="3" t="s">
        <v>679</v>
      </c>
      <c r="H116" s="2">
        <f t="shared" si="5"/>
        <v>56.995010055966</v>
      </c>
      <c r="I116" s="2"/>
    </row>
    <row r="117" spans="1:12">
      <c r="A117" s="1" t="s">
        <v>680</v>
      </c>
      <c r="B117" s="3" t="s">
        <v>681</v>
      </c>
      <c r="C117" s="3" t="s">
        <v>681</v>
      </c>
      <c r="D117" s="3" t="s">
        <v>682</v>
      </c>
      <c r="E117" s="1" t="s">
        <v>683</v>
      </c>
      <c r="F117" s="3" t="s">
        <v>684</v>
      </c>
      <c r="G117" s="3" t="s">
        <v>685</v>
      </c>
      <c r="H117" s="4">
        <f t="shared" si="5"/>
        <v>0.929338700070439</v>
      </c>
      <c r="I117" s="1">
        <v>0.398335993289948</v>
      </c>
      <c r="J117">
        <f>(E117/I117)</f>
        <v>23.2758057085107</v>
      </c>
      <c r="K117">
        <f>(F117/I117)</f>
        <v>38.4384676930268</v>
      </c>
      <c r="L117">
        <f>(G117/I117)</f>
        <v>35.7223555985371</v>
      </c>
    </row>
    <row r="118" spans="1:12">
      <c r="A118" s="1" t="s">
        <v>686</v>
      </c>
      <c r="B118" s="3" t="s">
        <v>687</v>
      </c>
      <c r="C118" s="3" t="s">
        <v>687</v>
      </c>
      <c r="D118" s="3" t="s">
        <v>688</v>
      </c>
      <c r="E118" s="6" t="s">
        <v>689</v>
      </c>
      <c r="F118" s="3" t="s">
        <v>690</v>
      </c>
      <c r="G118" s="3" t="s">
        <v>691</v>
      </c>
      <c r="H118" s="4">
        <f t="shared" si="5"/>
        <v>1.19653261902998</v>
      </c>
      <c r="I118" s="1">
        <v>0.0860159993171692</v>
      </c>
      <c r="J118">
        <f>(E118/I118)</f>
        <v>53.2826224491705</v>
      </c>
      <c r="K118">
        <f>(F118/I118)</f>
        <v>50.423456578817</v>
      </c>
      <c r="L118">
        <f>(G118/I118)</f>
        <v>60.3333105607962</v>
      </c>
    </row>
    <row r="119" spans="1:12">
      <c r="A119" s="1" t="s">
        <v>692</v>
      </c>
      <c r="B119" s="3" t="s">
        <v>693</v>
      </c>
      <c r="C119" s="3" t="s">
        <v>693</v>
      </c>
      <c r="D119" s="3" t="s">
        <v>694</v>
      </c>
      <c r="E119" s="1" t="s">
        <v>695</v>
      </c>
      <c r="F119" s="3" t="s">
        <v>696</v>
      </c>
      <c r="G119" s="3" t="s">
        <v>697</v>
      </c>
      <c r="H119" s="2">
        <f t="shared" si="5"/>
        <v>149.043278250957</v>
      </c>
      <c r="I119" s="2"/>
    </row>
    <row r="120" spans="1:12">
      <c r="A120" s="1" t="s">
        <v>698</v>
      </c>
      <c r="B120" s="3" t="s">
        <v>699</v>
      </c>
      <c r="C120" s="3" t="s">
        <v>699</v>
      </c>
      <c r="D120" s="3" t="s">
        <v>700</v>
      </c>
      <c r="E120" s="1" t="s">
        <v>701</v>
      </c>
      <c r="F120" s="3" t="s">
        <v>702</v>
      </c>
      <c r="G120" s="3" t="s">
        <v>703</v>
      </c>
      <c r="H120" s="2">
        <f t="shared" si="5"/>
        <v>8.25612388243661</v>
      </c>
      <c r="I120" s="2"/>
    </row>
    <row r="121" spans="1:12">
      <c r="A121" s="1" t="s">
        <v>704</v>
      </c>
      <c r="B121" s="3" t="s">
        <v>705</v>
      </c>
      <c r="C121" s="3" t="s">
        <v>705</v>
      </c>
      <c r="D121" s="3" t="s">
        <v>706</v>
      </c>
      <c r="E121" s="1" t="s">
        <v>707</v>
      </c>
      <c r="F121" s="3" t="s">
        <v>708</v>
      </c>
      <c r="G121" s="3" t="s">
        <v>709</v>
      </c>
      <c r="H121" s="2">
        <f t="shared" si="5"/>
        <v>264.168331786559</v>
      </c>
      <c r="I121" s="2"/>
    </row>
    <row r="122" spans="1:12">
      <c r="A122" s="1" t="s">
        <v>710</v>
      </c>
      <c r="B122" s="3" t="s">
        <v>711</v>
      </c>
      <c r="C122" s="3" t="s">
        <v>711</v>
      </c>
      <c r="D122" s="3" t="s">
        <v>712</v>
      </c>
      <c r="E122" s="1" t="s">
        <v>713</v>
      </c>
      <c r="F122" s="3" t="s">
        <v>714</v>
      </c>
      <c r="G122" s="3" t="s">
        <v>715</v>
      </c>
      <c r="H122" s="2">
        <f t="shared" si="5"/>
        <v>35.7958163282725</v>
      </c>
      <c r="I122" s="2"/>
    </row>
    <row r="123" spans="1:12">
      <c r="A123" s="1" t="s">
        <v>716</v>
      </c>
      <c r="B123" s="3" t="s">
        <v>717</v>
      </c>
      <c r="C123" s="3" t="s">
        <v>717</v>
      </c>
      <c r="D123" s="3" t="s">
        <v>718</v>
      </c>
      <c r="E123" s="1" t="s">
        <v>719</v>
      </c>
      <c r="F123" s="3" t="s">
        <v>720</v>
      </c>
      <c r="G123" s="3" t="s">
        <v>721</v>
      </c>
      <c r="H123" s="2">
        <f t="shared" si="5"/>
        <v>34.0708922233655</v>
      </c>
      <c r="I123" s="2"/>
    </row>
    <row r="124" spans="1:12">
      <c r="A124" s="1" t="s">
        <v>722</v>
      </c>
      <c r="B124" s="3" t="s">
        <v>723</v>
      </c>
      <c r="C124" s="3" t="s">
        <v>723</v>
      </c>
      <c r="D124" s="3" t="s">
        <v>724</v>
      </c>
      <c r="E124" s="1" t="s">
        <v>725</v>
      </c>
      <c r="F124" s="3" t="s">
        <v>726</v>
      </c>
      <c r="G124" s="3" t="s">
        <v>727</v>
      </c>
      <c r="H124" s="2">
        <f t="shared" si="5"/>
        <v>7.32903156956651</v>
      </c>
      <c r="I124" s="2"/>
    </row>
    <row r="125" spans="1:12">
      <c r="A125" s="1" t="s">
        <v>728</v>
      </c>
      <c r="B125" s="3" t="s">
        <v>645</v>
      </c>
      <c r="C125" s="3" t="s">
        <v>645</v>
      </c>
      <c r="D125" s="3" t="s">
        <v>729</v>
      </c>
      <c r="E125" s="1" t="s">
        <v>730</v>
      </c>
      <c r="F125" s="3" t="s">
        <v>731</v>
      </c>
      <c r="G125" s="3" t="s">
        <v>732</v>
      </c>
      <c r="H125" s="2">
        <f t="shared" si="5"/>
        <v>13.0829607912549</v>
      </c>
      <c r="I125" s="2"/>
    </row>
    <row r="126" spans="1:12">
      <c r="A126" s="1" t="s">
        <v>733</v>
      </c>
      <c r="B126" s="3" t="s">
        <v>734</v>
      </c>
      <c r="C126" s="3" t="s">
        <v>734</v>
      </c>
      <c r="D126" s="3" t="s">
        <v>735</v>
      </c>
      <c r="E126" s="1" t="s">
        <v>736</v>
      </c>
      <c r="F126" s="3" t="s">
        <v>737</v>
      </c>
      <c r="G126" s="3" t="s">
        <v>738</v>
      </c>
      <c r="H126" s="2">
        <f t="shared" si="5"/>
        <v>12.5476264002994</v>
      </c>
      <c r="I126" s="2"/>
    </row>
    <row r="127" spans="1:12">
      <c r="A127" s="1" t="s">
        <v>739</v>
      </c>
      <c r="B127" s="3" t="s">
        <v>740</v>
      </c>
      <c r="C127" s="3" t="s">
        <v>740</v>
      </c>
      <c r="D127" s="3" t="s">
        <v>741</v>
      </c>
      <c r="E127" s="1" t="s">
        <v>742</v>
      </c>
      <c r="F127" s="3" t="s">
        <v>743</v>
      </c>
      <c r="G127" s="3" t="s">
        <v>744</v>
      </c>
      <c r="H127" s="2">
        <f t="shared" si="5"/>
        <v>31.4998535473316</v>
      </c>
      <c r="I127" s="2"/>
    </row>
    <row r="128" spans="1:12">
      <c r="A128" s="1" t="s">
        <v>745</v>
      </c>
      <c r="B128" s="3" t="s">
        <v>639</v>
      </c>
      <c r="C128" s="3" t="s">
        <v>639</v>
      </c>
      <c r="D128" s="3" t="s">
        <v>640</v>
      </c>
      <c r="E128" s="6" t="s">
        <v>746</v>
      </c>
      <c r="F128" s="3" t="s">
        <v>747</v>
      </c>
      <c r="G128" s="3" t="s">
        <v>748</v>
      </c>
      <c r="H128" s="4">
        <f t="shared" si="5"/>
        <v>1.09169406904586</v>
      </c>
      <c r="I128" s="1">
        <v>0.128000006079674</v>
      </c>
      <c r="J128">
        <f>(E128/I128)</f>
        <v>39.3413565993223</v>
      </c>
      <c r="K128">
        <f>(F128/I128)</f>
        <v>39.9085860370305</v>
      </c>
      <c r="L128">
        <f>(G128/I128)</f>
        <v>43.5679666806326</v>
      </c>
    </row>
    <row r="129" spans="1:12">
      <c r="A129" s="1" t="s">
        <v>749</v>
      </c>
      <c r="B129" s="3" t="s">
        <v>750</v>
      </c>
      <c r="C129" s="3" t="s">
        <v>750</v>
      </c>
      <c r="D129" s="3" t="s">
        <v>751</v>
      </c>
      <c r="E129" s="1" t="s">
        <v>752</v>
      </c>
      <c r="F129" s="3" t="s">
        <v>753</v>
      </c>
      <c r="G129" s="3" t="s">
        <v>754</v>
      </c>
      <c r="H129" s="2">
        <f t="shared" si="5"/>
        <v>11.5702475729873</v>
      </c>
      <c r="I129" s="2"/>
    </row>
    <row r="130" spans="1:12">
      <c r="A130" s="1" t="s">
        <v>755</v>
      </c>
      <c r="B130" s="3" t="s">
        <v>756</v>
      </c>
      <c r="C130" s="3" t="s">
        <v>756</v>
      </c>
      <c r="D130" s="3" t="s">
        <v>757</v>
      </c>
      <c r="E130" s="1" t="s">
        <v>758</v>
      </c>
      <c r="F130" s="3" t="s">
        <v>759</v>
      </c>
      <c r="G130" s="3" t="s">
        <v>760</v>
      </c>
      <c r="H130" s="2">
        <f t="shared" si="5"/>
        <v>2.01711626383922</v>
      </c>
      <c r="I130" s="2"/>
    </row>
    <row r="131" spans="1:12">
      <c r="A131" s="1" t="s">
        <v>761</v>
      </c>
      <c r="B131" s="3" t="s">
        <v>762</v>
      </c>
      <c r="C131" s="3" t="s">
        <v>762</v>
      </c>
      <c r="D131" s="3" t="s">
        <v>763</v>
      </c>
      <c r="E131" s="1" t="s">
        <v>764</v>
      </c>
      <c r="F131" s="3" t="s">
        <v>765</v>
      </c>
      <c r="G131" s="3" t="s">
        <v>766</v>
      </c>
      <c r="H131" s="2">
        <f t="shared" si="5"/>
        <v>6.07231007658414</v>
      </c>
      <c r="I131" s="2"/>
    </row>
    <row r="132" spans="1:12">
      <c r="A132" s="1" t="s">
        <v>767</v>
      </c>
      <c r="B132" s="3" t="s">
        <v>768</v>
      </c>
      <c r="C132" s="3" t="s">
        <v>768</v>
      </c>
      <c r="D132" s="3" t="s">
        <v>769</v>
      </c>
      <c r="E132" s="1" t="s">
        <v>770</v>
      </c>
      <c r="F132" s="3" t="s">
        <v>771</v>
      </c>
      <c r="G132" s="3" t="s">
        <v>772</v>
      </c>
      <c r="H132" s="2">
        <f t="shared" si="5"/>
        <v>2.08802627439915</v>
      </c>
      <c r="I132" s="2"/>
    </row>
    <row r="133" spans="1:12">
      <c r="A133" s="1" t="s">
        <v>773</v>
      </c>
      <c r="B133" s="3" t="s">
        <v>774</v>
      </c>
      <c r="C133" s="3" t="s">
        <v>774</v>
      </c>
      <c r="D133" s="3" t="s">
        <v>775</v>
      </c>
      <c r="E133" s="6" t="s">
        <v>776</v>
      </c>
      <c r="F133" s="3" t="s">
        <v>777</v>
      </c>
      <c r="G133" s="3" t="s">
        <v>778</v>
      </c>
      <c r="H133" s="4">
        <f t="shared" si="5"/>
        <v>1.42477235581706</v>
      </c>
      <c r="I133" s="1">
        <v>0.165887996554375</v>
      </c>
      <c r="J133">
        <f>(E133/I133)</f>
        <v>38.2328505900038</v>
      </c>
      <c r="K133">
        <f>(F133/I133)</f>
        <v>35.1713029039604</v>
      </c>
      <c r="L133">
        <f>(G133/I133)</f>
        <v>50.1111000956312</v>
      </c>
    </row>
    <row r="134" spans="1:12">
      <c r="A134" s="1" t="s">
        <v>779</v>
      </c>
      <c r="B134" s="3" t="s">
        <v>184</v>
      </c>
      <c r="C134" s="3" t="s">
        <v>184</v>
      </c>
      <c r="D134" s="3" t="s">
        <v>780</v>
      </c>
      <c r="E134" s="1" t="s">
        <v>781</v>
      </c>
      <c r="F134" s="3" t="s">
        <v>782</v>
      </c>
      <c r="G134" s="3" t="s">
        <v>783</v>
      </c>
      <c r="H134" s="2">
        <f t="shared" si="5"/>
        <v>4.37396026002156</v>
      </c>
      <c r="I134" s="2"/>
    </row>
    <row r="135" spans="1:12">
      <c r="A135" s="1" t="s">
        <v>784</v>
      </c>
      <c r="B135" s="3" t="s">
        <v>785</v>
      </c>
      <c r="C135" s="3" t="s">
        <v>785</v>
      </c>
      <c r="D135" s="3" t="s">
        <v>786</v>
      </c>
      <c r="E135" s="1" t="s">
        <v>787</v>
      </c>
      <c r="F135" s="3" t="s">
        <v>788</v>
      </c>
      <c r="G135" s="3" t="s">
        <v>789</v>
      </c>
      <c r="H135" s="2">
        <f t="shared" si="5"/>
        <v>52.374905930903</v>
      </c>
      <c r="I135" s="2"/>
    </row>
    <row r="136" spans="1:12">
      <c r="A136" s="1" t="s">
        <v>790</v>
      </c>
      <c r="B136" s="3" t="s">
        <v>791</v>
      </c>
      <c r="C136" s="3" t="s">
        <v>791</v>
      </c>
      <c r="D136" s="3" t="s">
        <v>792</v>
      </c>
      <c r="E136" s="1" t="s">
        <v>793</v>
      </c>
      <c r="F136" s="3" t="s">
        <v>794</v>
      </c>
      <c r="G136" s="3" t="s">
        <v>795</v>
      </c>
      <c r="H136" s="2">
        <f t="shared" si="5"/>
        <v>80.3441054023726</v>
      </c>
      <c r="I136" s="2"/>
    </row>
    <row r="137" spans="1:12">
      <c r="A137" s="1" t="s">
        <v>796</v>
      </c>
      <c r="B137" s="3" t="s">
        <v>797</v>
      </c>
      <c r="C137" s="3" t="s">
        <v>797</v>
      </c>
      <c r="D137" s="3" t="s">
        <v>798</v>
      </c>
      <c r="E137" s="1" t="s">
        <v>799</v>
      </c>
      <c r="F137" s="3" t="s">
        <v>800</v>
      </c>
      <c r="G137" s="3" t="s">
        <v>801</v>
      </c>
      <c r="H137" s="2">
        <f t="shared" si="5"/>
        <v>1284.98494427704</v>
      </c>
      <c r="I137" s="2"/>
    </row>
    <row r="138" spans="1:12">
      <c r="A138" s="1" t="s">
        <v>802</v>
      </c>
      <c r="B138" s="3" t="s">
        <v>756</v>
      </c>
      <c r="C138" s="3" t="s">
        <v>756</v>
      </c>
      <c r="D138" s="3" t="s">
        <v>757</v>
      </c>
      <c r="E138" s="1" t="s">
        <v>803</v>
      </c>
      <c r="F138" s="3" t="s">
        <v>804</v>
      </c>
      <c r="G138" s="3" t="s">
        <v>805</v>
      </c>
      <c r="H138" s="2">
        <f t="shared" ref="H138:H201" si="6">(G138/F138)</f>
        <v>2.26622871276307</v>
      </c>
      <c r="I138" s="2"/>
    </row>
    <row r="139" spans="1:12">
      <c r="A139" s="1" t="s">
        <v>806</v>
      </c>
      <c r="B139" s="3" t="s">
        <v>131</v>
      </c>
      <c r="C139" s="3" t="s">
        <v>131</v>
      </c>
      <c r="D139" s="3" t="s">
        <v>132</v>
      </c>
      <c r="E139" s="1" t="s">
        <v>807</v>
      </c>
      <c r="F139" s="3" t="s">
        <v>808</v>
      </c>
      <c r="G139" s="3" t="s">
        <v>809</v>
      </c>
      <c r="H139" s="2">
        <f t="shared" si="6"/>
        <v>1.71260204618332</v>
      </c>
      <c r="I139" s="2"/>
    </row>
    <row r="140" spans="1:12">
      <c r="A140" s="1" t="s">
        <v>810</v>
      </c>
      <c r="B140" s="3" t="s">
        <v>811</v>
      </c>
      <c r="C140" s="3" t="s">
        <v>811</v>
      </c>
      <c r="D140" s="3" t="s">
        <v>812</v>
      </c>
      <c r="E140" s="6" t="s">
        <v>813</v>
      </c>
      <c r="F140" s="3" t="s">
        <v>814</v>
      </c>
      <c r="G140" s="3" t="s">
        <v>815</v>
      </c>
      <c r="H140" s="4">
        <f t="shared" si="6"/>
        <v>1.43038164485808</v>
      </c>
      <c r="I140" s="1">
        <v>0.165887996554375</v>
      </c>
      <c r="J140">
        <f>(E140/I140)</f>
        <v>42.0417278872639</v>
      </c>
      <c r="K140">
        <f>(F140/I140)</f>
        <v>34.9341289578179</v>
      </c>
      <c r="L140">
        <f>(G140/I140)</f>
        <v>49.9691368403677</v>
      </c>
    </row>
    <row r="141" spans="1:12">
      <c r="A141" s="1" t="s">
        <v>816</v>
      </c>
      <c r="B141" s="3" t="s">
        <v>645</v>
      </c>
      <c r="C141" s="3" t="s">
        <v>645</v>
      </c>
      <c r="D141" s="3" t="s">
        <v>817</v>
      </c>
      <c r="E141" s="1" t="s">
        <v>818</v>
      </c>
      <c r="F141" s="3" t="s">
        <v>819</v>
      </c>
      <c r="G141" s="3" t="s">
        <v>820</v>
      </c>
      <c r="H141" s="2">
        <f t="shared" si="6"/>
        <v>20.9279578112412</v>
      </c>
      <c r="I141" s="2"/>
    </row>
    <row r="142" spans="1:12">
      <c r="A142" s="1" t="s">
        <v>821</v>
      </c>
      <c r="B142" s="3" t="s">
        <v>822</v>
      </c>
      <c r="C142" s="3" t="s">
        <v>822</v>
      </c>
      <c r="D142" s="3" t="s">
        <v>823</v>
      </c>
      <c r="E142" s="6" t="s">
        <v>824</v>
      </c>
      <c r="F142" s="3" t="s">
        <v>825</v>
      </c>
      <c r="G142" s="3" t="s">
        <v>826</v>
      </c>
      <c r="H142" s="4">
        <f t="shared" si="6"/>
        <v>1.55473971033329</v>
      </c>
      <c r="I142" s="1">
        <v>0.06963200122118</v>
      </c>
      <c r="J142">
        <f>(E142/I142)</f>
        <v>41.6416879836171</v>
      </c>
      <c r="K142">
        <f>(F142/I142)</f>
        <v>50.9826204125489</v>
      </c>
      <c r="L142">
        <f>(G142/I142)</f>
        <v>79.2647044922382</v>
      </c>
    </row>
    <row r="143" spans="1:12">
      <c r="A143" s="1" t="s">
        <v>827</v>
      </c>
      <c r="B143" s="3" t="s">
        <v>828</v>
      </c>
      <c r="C143" s="3" t="s">
        <v>828</v>
      </c>
      <c r="D143" s="3" t="s">
        <v>829</v>
      </c>
      <c r="E143" s="1" t="s">
        <v>830</v>
      </c>
      <c r="F143" s="3" t="s">
        <v>831</v>
      </c>
      <c r="G143" s="3" t="s">
        <v>832</v>
      </c>
      <c r="H143" s="2">
        <f t="shared" si="6"/>
        <v>4.53092713530648</v>
      </c>
      <c r="I143" s="2"/>
    </row>
    <row r="144" spans="1:12">
      <c r="A144" s="1" t="s">
        <v>833</v>
      </c>
      <c r="B144" s="3" t="s">
        <v>244</v>
      </c>
      <c r="C144" s="3" t="s">
        <v>244</v>
      </c>
      <c r="D144" s="3" t="s">
        <v>245</v>
      </c>
      <c r="E144" s="1" t="s">
        <v>834</v>
      </c>
      <c r="F144" s="3" t="s">
        <v>835</v>
      </c>
      <c r="G144" s="3" t="s">
        <v>836</v>
      </c>
      <c r="H144" s="2">
        <f t="shared" si="6"/>
        <v>1.84341110011818</v>
      </c>
      <c r="I144" s="2"/>
    </row>
    <row r="145" spans="1:12">
      <c r="A145" s="1" t="s">
        <v>837</v>
      </c>
      <c r="B145" s="3" t="s">
        <v>838</v>
      </c>
      <c r="C145" s="3" t="s">
        <v>838</v>
      </c>
      <c r="D145" s="3" t="s">
        <v>839</v>
      </c>
      <c r="E145" s="1" t="s">
        <v>840</v>
      </c>
      <c r="F145" s="3" t="s">
        <v>841</v>
      </c>
      <c r="G145" s="3" t="s">
        <v>842</v>
      </c>
      <c r="H145" s="2">
        <f t="shared" si="6"/>
        <v>132.396413763564</v>
      </c>
      <c r="I145" s="2"/>
    </row>
    <row r="146" spans="1:12">
      <c r="A146" s="1" t="s">
        <v>843</v>
      </c>
      <c r="B146" s="3" t="s">
        <v>178</v>
      </c>
      <c r="C146" s="3" t="s">
        <v>178</v>
      </c>
      <c r="D146" s="3" t="s">
        <v>844</v>
      </c>
      <c r="E146" s="1" t="s">
        <v>845</v>
      </c>
      <c r="F146" s="3" t="s">
        <v>846</v>
      </c>
      <c r="G146" s="3" t="s">
        <v>847</v>
      </c>
      <c r="H146" s="2">
        <f t="shared" si="6"/>
        <v>23.8379597105087</v>
      </c>
      <c r="I146" s="2"/>
    </row>
    <row r="147" spans="1:12">
      <c r="A147" s="1" t="s">
        <v>848</v>
      </c>
      <c r="B147" s="3" t="s">
        <v>849</v>
      </c>
      <c r="C147" s="3" t="s">
        <v>849</v>
      </c>
      <c r="D147" s="3" t="s">
        <v>850</v>
      </c>
      <c r="E147" s="1" t="s">
        <v>851</v>
      </c>
      <c r="F147" s="3" t="s">
        <v>852</v>
      </c>
      <c r="G147" s="3" t="s">
        <v>853</v>
      </c>
      <c r="H147" s="2">
        <f t="shared" si="6"/>
        <v>19.7993707300824</v>
      </c>
      <c r="I147" s="2"/>
    </row>
    <row r="148" spans="1:12">
      <c r="A148" s="1" t="s">
        <v>854</v>
      </c>
      <c r="B148" s="3" t="s">
        <v>855</v>
      </c>
      <c r="C148" s="3" t="s">
        <v>855</v>
      </c>
      <c r="D148" s="3" t="s">
        <v>856</v>
      </c>
      <c r="E148" s="1" t="s">
        <v>857</v>
      </c>
      <c r="F148" s="3" t="s">
        <v>858</v>
      </c>
      <c r="G148" s="3" t="s">
        <v>859</v>
      </c>
      <c r="H148" s="4">
        <f t="shared" si="6"/>
        <v>0.39626641680998</v>
      </c>
      <c r="I148" s="1">
        <v>0.0942080020904541</v>
      </c>
      <c r="J148">
        <f>(E148/I148)</f>
        <v>23.4657776922941</v>
      </c>
      <c r="K148">
        <f>(F148/I148)</f>
        <v>46.8229651994118</v>
      </c>
      <c r="L148">
        <f>(G148/I148)</f>
        <v>18.5543686439893</v>
      </c>
    </row>
    <row r="149" spans="1:12">
      <c r="A149" s="1" t="s">
        <v>860</v>
      </c>
      <c r="B149" s="3" t="s">
        <v>861</v>
      </c>
      <c r="C149" s="3" t="s">
        <v>861</v>
      </c>
      <c r="D149" s="3" t="s">
        <v>862</v>
      </c>
      <c r="E149" s="1" t="s">
        <v>863</v>
      </c>
      <c r="F149" s="3" t="s">
        <v>864</v>
      </c>
      <c r="G149" s="3" t="s">
        <v>865</v>
      </c>
      <c r="H149" s="2">
        <f t="shared" si="6"/>
        <v>53.8431209697132</v>
      </c>
      <c r="I149" s="2"/>
    </row>
    <row r="150" spans="1:12">
      <c r="A150" s="1" t="s">
        <v>866</v>
      </c>
      <c r="B150" s="3" t="s">
        <v>867</v>
      </c>
      <c r="C150" s="3" t="s">
        <v>867</v>
      </c>
      <c r="D150" s="3" t="s">
        <v>868</v>
      </c>
      <c r="E150" s="1" t="s">
        <v>869</v>
      </c>
      <c r="F150" s="3" t="s">
        <v>870</v>
      </c>
      <c r="G150" s="3" t="s">
        <v>871</v>
      </c>
      <c r="H150" s="4">
        <f t="shared" si="6"/>
        <v>0.945643548962288</v>
      </c>
      <c r="I150" s="1">
        <v>0.0399359986186028</v>
      </c>
      <c r="J150">
        <f>(E150/I150)</f>
        <v>39.901994713177</v>
      </c>
      <c r="K150">
        <f>(F150/I150)</f>
        <v>44.8751529583577</v>
      </c>
      <c r="L150">
        <f>(G150/I150)</f>
        <v>42.4358989037669</v>
      </c>
    </row>
    <row r="151" spans="1:12">
      <c r="A151" s="1" t="s">
        <v>872</v>
      </c>
      <c r="B151" s="3" t="s">
        <v>873</v>
      </c>
      <c r="C151" s="3" t="s">
        <v>873</v>
      </c>
      <c r="D151" s="3" t="s">
        <v>874</v>
      </c>
      <c r="E151" s="1" t="s">
        <v>875</v>
      </c>
      <c r="F151" s="3" t="s">
        <v>876</v>
      </c>
      <c r="G151" s="3" t="s">
        <v>877</v>
      </c>
      <c r="H151" s="2">
        <f t="shared" si="6"/>
        <v>14.1417089574232</v>
      </c>
      <c r="I151" s="2"/>
    </row>
    <row r="152" spans="1:12">
      <c r="A152" s="1" t="s">
        <v>878</v>
      </c>
      <c r="B152" s="3" t="s">
        <v>879</v>
      </c>
      <c r="C152" s="3" t="s">
        <v>879</v>
      </c>
      <c r="D152" s="3" t="s">
        <v>880</v>
      </c>
      <c r="E152" s="1" t="s">
        <v>881</v>
      </c>
      <c r="F152" s="3" t="s">
        <v>882</v>
      </c>
      <c r="G152" s="3" t="s">
        <v>883</v>
      </c>
      <c r="H152" s="2">
        <f t="shared" si="6"/>
        <v>644.600646149904</v>
      </c>
      <c r="I152" s="2"/>
    </row>
    <row r="153" spans="1:12">
      <c r="A153" s="1" t="s">
        <v>884</v>
      </c>
      <c r="B153" s="3" t="s">
        <v>885</v>
      </c>
      <c r="C153" s="3" t="s">
        <v>885</v>
      </c>
      <c r="D153" s="3" t="s">
        <v>886</v>
      </c>
      <c r="E153" s="1" t="s">
        <v>887</v>
      </c>
      <c r="F153" s="3" t="s">
        <v>888</v>
      </c>
      <c r="G153" s="3" t="s">
        <v>889</v>
      </c>
      <c r="H153" s="2">
        <f t="shared" si="6"/>
        <v>113.758109893826</v>
      </c>
      <c r="I153" s="2"/>
    </row>
    <row r="154" spans="1:12">
      <c r="A154" s="1" t="s">
        <v>890</v>
      </c>
      <c r="B154" s="3" t="s">
        <v>891</v>
      </c>
      <c r="C154" s="3" t="s">
        <v>891</v>
      </c>
      <c r="D154" s="3" t="s">
        <v>892</v>
      </c>
      <c r="E154" s="1" t="s">
        <v>893</v>
      </c>
      <c r="F154" s="3" t="s">
        <v>894</v>
      </c>
      <c r="G154" s="3" t="s">
        <v>895</v>
      </c>
      <c r="H154" s="2">
        <f t="shared" si="6"/>
        <v>15.7148111703522</v>
      </c>
      <c r="I154" s="2"/>
    </row>
    <row r="155" spans="1:12">
      <c r="A155" s="1" t="s">
        <v>896</v>
      </c>
      <c r="B155" s="3" t="s">
        <v>897</v>
      </c>
      <c r="C155" s="3" t="s">
        <v>897</v>
      </c>
      <c r="D155" s="3" t="s">
        <v>898</v>
      </c>
      <c r="E155" s="1" t="s">
        <v>899</v>
      </c>
      <c r="F155" s="3" t="s">
        <v>900</v>
      </c>
      <c r="G155" s="3" t="s">
        <v>901</v>
      </c>
      <c r="H155" s="2">
        <f t="shared" si="6"/>
        <v>104.563956851781</v>
      </c>
      <c r="I155" s="2"/>
    </row>
    <row r="156" spans="1:12">
      <c r="A156" s="1" t="s">
        <v>902</v>
      </c>
      <c r="B156" s="3" t="s">
        <v>903</v>
      </c>
      <c r="C156" s="3" t="s">
        <v>903</v>
      </c>
      <c r="D156" s="3" t="s">
        <v>904</v>
      </c>
      <c r="E156" s="1" t="s">
        <v>905</v>
      </c>
      <c r="F156" s="3" t="s">
        <v>906</v>
      </c>
      <c r="G156" s="3" t="s">
        <v>907</v>
      </c>
      <c r="H156" s="2">
        <f t="shared" si="6"/>
        <v>1.41121722139721</v>
      </c>
      <c r="I156" s="2"/>
    </row>
    <row r="157" spans="1:12">
      <c r="A157" s="1" t="s">
        <v>908</v>
      </c>
      <c r="B157" s="3" t="s">
        <v>256</v>
      </c>
      <c r="C157" s="3" t="s">
        <v>256</v>
      </c>
      <c r="D157" s="3" t="s">
        <v>257</v>
      </c>
      <c r="E157" s="1" t="s">
        <v>909</v>
      </c>
      <c r="F157" s="3" t="s">
        <v>910</v>
      </c>
      <c r="G157" s="3" t="s">
        <v>911</v>
      </c>
      <c r="H157" s="2">
        <f t="shared" si="6"/>
        <v>5.99207180289194</v>
      </c>
      <c r="I157" s="2"/>
    </row>
    <row r="158" spans="1:12">
      <c r="A158" s="1" t="s">
        <v>912</v>
      </c>
      <c r="B158" s="3" t="s">
        <v>913</v>
      </c>
      <c r="C158" s="3" t="s">
        <v>913</v>
      </c>
      <c r="D158" s="3" t="s">
        <v>914</v>
      </c>
      <c r="E158" s="1" t="s">
        <v>915</v>
      </c>
      <c r="F158" s="3" t="s">
        <v>916</v>
      </c>
      <c r="G158" s="3" t="s">
        <v>917</v>
      </c>
      <c r="H158" s="2">
        <f t="shared" si="6"/>
        <v>2.21157227141535</v>
      </c>
      <c r="I158" s="2"/>
    </row>
    <row r="159" spans="1:12">
      <c r="A159" s="1" t="s">
        <v>918</v>
      </c>
      <c r="B159" s="3" t="s">
        <v>919</v>
      </c>
      <c r="C159" s="3" t="s">
        <v>919</v>
      </c>
      <c r="D159" s="3" t="s">
        <v>920</v>
      </c>
      <c r="E159" s="1" t="s">
        <v>921</v>
      </c>
      <c r="F159" s="3" t="s">
        <v>922</v>
      </c>
      <c r="G159" s="3" t="s">
        <v>923</v>
      </c>
      <c r="H159" s="2">
        <f t="shared" si="6"/>
        <v>2.5240996473173</v>
      </c>
      <c r="I159" s="2"/>
    </row>
    <row r="160" spans="1:12">
      <c r="A160" s="1" t="s">
        <v>924</v>
      </c>
      <c r="B160" s="3" t="s">
        <v>645</v>
      </c>
      <c r="C160" s="3" t="s">
        <v>645</v>
      </c>
      <c r="D160" s="3" t="s">
        <v>925</v>
      </c>
      <c r="E160" s="1" t="s">
        <v>926</v>
      </c>
      <c r="F160" s="3" t="s">
        <v>927</v>
      </c>
      <c r="G160" s="3" t="s">
        <v>928</v>
      </c>
      <c r="H160" s="2">
        <f t="shared" si="6"/>
        <v>12.6116894533667</v>
      </c>
      <c r="I160" s="2"/>
    </row>
    <row r="161" spans="1:12">
      <c r="A161" s="1" t="s">
        <v>929</v>
      </c>
      <c r="B161" s="3" t="s">
        <v>184</v>
      </c>
      <c r="C161" s="3" t="s">
        <v>184</v>
      </c>
      <c r="D161" s="3" t="s">
        <v>780</v>
      </c>
      <c r="E161" s="1" t="s">
        <v>930</v>
      </c>
      <c r="F161" s="3" t="s">
        <v>931</v>
      </c>
      <c r="G161" s="3" t="s">
        <v>932</v>
      </c>
      <c r="H161" s="2">
        <f t="shared" si="6"/>
        <v>4.47886524944438</v>
      </c>
      <c r="I161" s="2"/>
    </row>
    <row r="162" spans="1:12">
      <c r="A162" s="1" t="s">
        <v>933</v>
      </c>
      <c r="B162" s="3" t="s">
        <v>934</v>
      </c>
      <c r="C162" s="3" t="s">
        <v>934</v>
      </c>
      <c r="D162" s="3" t="s">
        <v>935</v>
      </c>
      <c r="E162" s="1" t="s">
        <v>936</v>
      </c>
      <c r="F162" s="3" t="s">
        <v>937</v>
      </c>
      <c r="G162" s="3" t="s">
        <v>938</v>
      </c>
      <c r="H162" s="2">
        <f t="shared" si="6"/>
        <v>93.7402313626433</v>
      </c>
      <c r="I162" s="2"/>
    </row>
    <row r="163" spans="1:12">
      <c r="A163" s="1" t="s">
        <v>939</v>
      </c>
      <c r="B163" s="3" t="s">
        <v>940</v>
      </c>
      <c r="C163" s="3" t="s">
        <v>940</v>
      </c>
      <c r="D163" s="3" t="s">
        <v>941</v>
      </c>
      <c r="E163" s="1" t="s">
        <v>942</v>
      </c>
      <c r="F163" s="3" t="s">
        <v>943</v>
      </c>
      <c r="G163" s="3" t="s">
        <v>944</v>
      </c>
      <c r="H163" s="2">
        <f t="shared" si="6"/>
        <v>4.51313628287315</v>
      </c>
      <c r="I163" s="2"/>
    </row>
    <row r="164" spans="1:12">
      <c r="A164" s="1" t="s">
        <v>945</v>
      </c>
      <c r="B164" s="3" t="s">
        <v>946</v>
      </c>
      <c r="C164" s="3" t="s">
        <v>946</v>
      </c>
      <c r="D164" s="3" t="s">
        <v>947</v>
      </c>
      <c r="E164" s="1" t="s">
        <v>948</v>
      </c>
      <c r="F164" s="3" t="s">
        <v>949</v>
      </c>
      <c r="G164" s="3" t="s">
        <v>950</v>
      </c>
      <c r="H164" s="4">
        <f t="shared" si="6"/>
        <v>0.766199364731863</v>
      </c>
      <c r="I164" s="1">
        <v>0.0665600001811981</v>
      </c>
      <c r="J164">
        <f>(E164/I164)</f>
        <v>24.2342401639127</v>
      </c>
      <c r="K164">
        <f>(F164/I164)</f>
        <v>41.6239937350646</v>
      </c>
      <c r="L164">
        <f>(G164/I164)</f>
        <v>31.8922775574095</v>
      </c>
    </row>
    <row r="165" spans="1:12">
      <c r="A165" s="1" t="s">
        <v>951</v>
      </c>
      <c r="B165" s="3" t="s">
        <v>934</v>
      </c>
      <c r="C165" s="3" t="s">
        <v>934</v>
      </c>
      <c r="D165" s="3" t="s">
        <v>935</v>
      </c>
      <c r="E165" s="1" t="s">
        <v>952</v>
      </c>
      <c r="F165" s="3" t="s">
        <v>953</v>
      </c>
      <c r="G165" s="3" t="s">
        <v>954</v>
      </c>
      <c r="H165" s="2">
        <f t="shared" si="6"/>
        <v>93.3228375814881</v>
      </c>
      <c r="I165" s="2"/>
    </row>
    <row r="166" spans="1:12">
      <c r="A166" s="1" t="s">
        <v>955</v>
      </c>
      <c r="B166" s="3" t="s">
        <v>956</v>
      </c>
      <c r="C166" s="3" t="s">
        <v>956</v>
      </c>
      <c r="D166" s="3" t="s">
        <v>957</v>
      </c>
      <c r="E166" s="1" t="s">
        <v>958</v>
      </c>
      <c r="F166" s="3" t="s">
        <v>959</v>
      </c>
      <c r="G166" s="3" t="s">
        <v>960</v>
      </c>
      <c r="H166" s="2">
        <f t="shared" si="6"/>
        <v>61.319640720777</v>
      </c>
      <c r="I166" s="2"/>
    </row>
    <row r="167" spans="1:12">
      <c r="A167" s="1" t="s">
        <v>961</v>
      </c>
      <c r="B167" s="3" t="s">
        <v>962</v>
      </c>
      <c r="C167" s="3" t="s">
        <v>962</v>
      </c>
      <c r="D167" s="3" t="s">
        <v>963</v>
      </c>
      <c r="E167" s="1" t="s">
        <v>964</v>
      </c>
      <c r="F167" s="3" t="s">
        <v>965</v>
      </c>
      <c r="G167" s="3" t="s">
        <v>966</v>
      </c>
      <c r="H167" s="2">
        <f t="shared" si="6"/>
        <v>469.295520368805</v>
      </c>
      <c r="I167" s="2"/>
    </row>
    <row r="168" spans="1:12">
      <c r="A168" s="1" t="s">
        <v>967</v>
      </c>
      <c r="B168" s="3" t="s">
        <v>968</v>
      </c>
      <c r="C168" s="3" t="s">
        <v>968</v>
      </c>
      <c r="D168" s="3" t="s">
        <v>969</v>
      </c>
      <c r="E168" s="1" t="s">
        <v>970</v>
      </c>
      <c r="F168" s="3" t="s">
        <v>971</v>
      </c>
      <c r="G168" s="3" t="s">
        <v>972</v>
      </c>
      <c r="H168" s="2">
        <f t="shared" si="6"/>
        <v>14.5500587098105</v>
      </c>
      <c r="I168" s="2"/>
    </row>
    <row r="169" spans="1:12">
      <c r="A169" s="1" t="s">
        <v>973</v>
      </c>
      <c r="B169" s="3" t="s">
        <v>974</v>
      </c>
      <c r="C169" s="3" t="s">
        <v>974</v>
      </c>
      <c r="D169" s="3" t="s">
        <v>975</v>
      </c>
      <c r="E169" s="6" t="s">
        <v>976</v>
      </c>
      <c r="F169" s="3" t="s">
        <v>977</v>
      </c>
      <c r="G169" s="3" t="s">
        <v>978</v>
      </c>
      <c r="H169" s="4">
        <f t="shared" si="6"/>
        <v>0.7899481578674</v>
      </c>
      <c r="I169" s="1">
        <v>0.0675840005278587</v>
      </c>
      <c r="J169">
        <f>(E169/I169)</f>
        <v>33.6027602778137</v>
      </c>
      <c r="K169">
        <f>(F169/I169)</f>
        <v>42.8872807552796</v>
      </c>
      <c r="L169">
        <f>(G169/I169)</f>
        <v>33.8787284285751</v>
      </c>
    </row>
    <row r="170" spans="1:12">
      <c r="A170" s="1" t="s">
        <v>979</v>
      </c>
      <c r="B170" s="3" t="s">
        <v>332</v>
      </c>
      <c r="C170" s="3" t="s">
        <v>332</v>
      </c>
      <c r="D170" s="3" t="s">
        <v>333</v>
      </c>
      <c r="E170" s="1" t="s">
        <v>980</v>
      </c>
      <c r="F170" s="3" t="s">
        <v>981</v>
      </c>
      <c r="G170" s="3" t="s">
        <v>982</v>
      </c>
      <c r="H170" s="4">
        <f t="shared" si="6"/>
        <v>0.6790794171571</v>
      </c>
      <c r="I170" s="1">
        <v>0.0440320000052452</v>
      </c>
      <c r="J170">
        <f>(E170/I170)</f>
        <v>59.5438976289683</v>
      </c>
      <c r="K170">
        <f>(F170/I170)</f>
        <v>49.8621713657225</v>
      </c>
      <c r="L170">
        <f>(G170/I170)</f>
        <v>33.8603742692223</v>
      </c>
    </row>
    <row r="171" spans="1:12">
      <c r="A171" s="1" t="s">
        <v>983</v>
      </c>
      <c r="B171" s="3" t="s">
        <v>984</v>
      </c>
      <c r="C171" s="3" t="s">
        <v>984</v>
      </c>
      <c r="D171" s="3" t="s">
        <v>985</v>
      </c>
      <c r="E171" s="1" t="s">
        <v>986</v>
      </c>
      <c r="F171" s="3" t="s">
        <v>987</v>
      </c>
      <c r="G171" s="3" t="s">
        <v>988</v>
      </c>
      <c r="H171" s="2">
        <f t="shared" si="6"/>
        <v>2.69371894289715</v>
      </c>
      <c r="I171" s="2"/>
    </row>
    <row r="172" spans="1:12">
      <c r="A172" s="1" t="s">
        <v>989</v>
      </c>
      <c r="B172" s="3" t="s">
        <v>990</v>
      </c>
      <c r="C172" s="3" t="s">
        <v>990</v>
      </c>
      <c r="D172" s="3" t="s">
        <v>991</v>
      </c>
      <c r="E172" s="1" t="s">
        <v>992</v>
      </c>
      <c r="F172" s="3" t="s">
        <v>993</v>
      </c>
      <c r="G172" s="3" t="s">
        <v>994</v>
      </c>
      <c r="H172" s="2">
        <f t="shared" si="6"/>
        <v>398.124231293838</v>
      </c>
      <c r="I172" s="2"/>
    </row>
    <row r="173" spans="1:12">
      <c r="A173" s="1" t="s">
        <v>995</v>
      </c>
      <c r="B173" s="3" t="s">
        <v>996</v>
      </c>
      <c r="C173" s="3" t="s">
        <v>996</v>
      </c>
      <c r="D173" s="3" t="s">
        <v>997</v>
      </c>
      <c r="E173" s="1" t="s">
        <v>998</v>
      </c>
      <c r="F173" s="3" t="s">
        <v>999</v>
      </c>
      <c r="G173" s="3" t="s">
        <v>1000</v>
      </c>
      <c r="H173" s="2">
        <f t="shared" si="6"/>
        <v>2.08462049241709</v>
      </c>
      <c r="I173" s="2"/>
    </row>
    <row r="174" spans="1:12">
      <c r="A174" s="1" t="s">
        <v>1001</v>
      </c>
      <c r="B174" s="3" t="s">
        <v>178</v>
      </c>
      <c r="C174" s="3" t="s">
        <v>178</v>
      </c>
      <c r="D174" s="3" t="s">
        <v>1002</v>
      </c>
      <c r="E174" s="1" t="s">
        <v>1003</v>
      </c>
      <c r="F174" s="3" t="s">
        <v>1004</v>
      </c>
      <c r="G174" s="3" t="s">
        <v>1005</v>
      </c>
      <c r="H174" s="2">
        <f t="shared" si="6"/>
        <v>16.6729096329725</v>
      </c>
      <c r="I174" s="2"/>
    </row>
    <row r="175" spans="1:12">
      <c r="A175" s="1" t="s">
        <v>1006</v>
      </c>
      <c r="B175" s="3" t="s">
        <v>1007</v>
      </c>
      <c r="C175" s="3" t="s">
        <v>1007</v>
      </c>
      <c r="D175" s="3" t="s">
        <v>1008</v>
      </c>
      <c r="E175" s="6" t="s">
        <v>1009</v>
      </c>
      <c r="F175" s="3" t="s">
        <v>1010</v>
      </c>
      <c r="G175" s="3" t="s">
        <v>1011</v>
      </c>
      <c r="H175" s="4">
        <f t="shared" si="6"/>
        <v>0.978653013678676</v>
      </c>
      <c r="I175" s="1">
        <v>0.0378880016505718</v>
      </c>
      <c r="J175">
        <f>(E175/I175)</f>
        <v>60.7039394294251</v>
      </c>
      <c r="K175">
        <f>(F175/I175)</f>
        <v>56.116895923232</v>
      </c>
      <c r="L175">
        <f>(G175/I175)</f>
        <v>54.9189693135636</v>
      </c>
    </row>
    <row r="176" spans="1:12">
      <c r="A176" s="1" t="s">
        <v>1012</v>
      </c>
      <c r="B176" s="3" t="s">
        <v>1013</v>
      </c>
      <c r="C176" s="3" t="s">
        <v>1013</v>
      </c>
      <c r="D176" s="3" t="s">
        <v>1014</v>
      </c>
      <c r="E176" s="1" t="s">
        <v>1015</v>
      </c>
      <c r="F176" s="3" t="s">
        <v>1016</v>
      </c>
      <c r="G176" s="3" t="s">
        <v>1017</v>
      </c>
      <c r="H176" s="2">
        <f t="shared" si="6"/>
        <v>83.4924077751658</v>
      </c>
      <c r="I176" s="2"/>
    </row>
    <row r="177" spans="1:12">
      <c r="A177" s="1" t="s">
        <v>1018</v>
      </c>
      <c r="B177" s="3" t="s">
        <v>1019</v>
      </c>
      <c r="C177" s="3" t="s">
        <v>1019</v>
      </c>
      <c r="D177" s="3" t="s">
        <v>1020</v>
      </c>
      <c r="E177" s="6" t="s">
        <v>1021</v>
      </c>
      <c r="F177" s="3" t="s">
        <v>1022</v>
      </c>
      <c r="G177" s="3" t="s">
        <v>1023</v>
      </c>
      <c r="H177" s="4">
        <f t="shared" si="6"/>
        <v>1.22256752971593</v>
      </c>
      <c r="I177" s="1">
        <v>0.236543998122215</v>
      </c>
      <c r="J177">
        <f>(E177/I177)</f>
        <v>43.9293915869392</v>
      </c>
      <c r="K177">
        <f>(F177/I177)</f>
        <v>41.4428510062145</v>
      </c>
      <c r="L177">
        <f>(G177/I177)</f>
        <v>50.666683979053</v>
      </c>
    </row>
    <row r="178" spans="1:12">
      <c r="A178" s="1" t="s">
        <v>1024</v>
      </c>
      <c r="B178" s="3" t="s">
        <v>984</v>
      </c>
      <c r="C178" s="3" t="s">
        <v>984</v>
      </c>
      <c r="D178" s="3" t="s">
        <v>985</v>
      </c>
      <c r="E178" s="1" t="s">
        <v>1025</v>
      </c>
      <c r="F178" s="3" t="s">
        <v>1026</v>
      </c>
      <c r="G178" s="3" t="s">
        <v>1027</v>
      </c>
      <c r="H178" s="2">
        <f t="shared" si="6"/>
        <v>2.64975682278886</v>
      </c>
      <c r="I178" s="2"/>
    </row>
    <row r="179" spans="1:12">
      <c r="A179" s="1" t="s">
        <v>1028</v>
      </c>
      <c r="B179" s="3" t="s">
        <v>1029</v>
      </c>
      <c r="C179" s="3" t="s">
        <v>1029</v>
      </c>
      <c r="D179" s="3" t="s">
        <v>1030</v>
      </c>
      <c r="E179" s="1" t="s">
        <v>1031</v>
      </c>
      <c r="F179" s="3" t="s">
        <v>1032</v>
      </c>
      <c r="G179" s="3" t="s">
        <v>1033</v>
      </c>
      <c r="H179" s="2">
        <f t="shared" si="6"/>
        <v>3.41223363859648</v>
      </c>
      <c r="I179" s="2"/>
    </row>
    <row r="180" spans="1:12">
      <c r="A180" s="1" t="s">
        <v>1034</v>
      </c>
      <c r="B180" s="3" t="s">
        <v>1035</v>
      </c>
      <c r="C180" s="3" t="s">
        <v>1035</v>
      </c>
      <c r="D180" s="3" t="s">
        <v>1036</v>
      </c>
      <c r="E180" s="1" t="s">
        <v>1037</v>
      </c>
      <c r="F180" s="3" t="s">
        <v>1038</v>
      </c>
      <c r="G180" s="3" t="s">
        <v>1039</v>
      </c>
      <c r="H180" s="2">
        <f t="shared" si="6"/>
        <v>4.5235473312464</v>
      </c>
      <c r="I180" s="2"/>
    </row>
    <row r="181" spans="1:12">
      <c r="A181" s="1" t="s">
        <v>1040</v>
      </c>
      <c r="B181" s="3" t="s">
        <v>1041</v>
      </c>
      <c r="C181" s="3" t="s">
        <v>1041</v>
      </c>
      <c r="D181" s="3" t="s">
        <v>1042</v>
      </c>
      <c r="E181" s="1" t="s">
        <v>1043</v>
      </c>
      <c r="F181" s="3" t="s">
        <v>1044</v>
      </c>
      <c r="G181" s="3" t="s">
        <v>1045</v>
      </c>
      <c r="H181" s="2">
        <f t="shared" si="6"/>
        <v>17.3742444029443</v>
      </c>
      <c r="I181" s="2"/>
    </row>
    <row r="182" spans="1:12">
      <c r="A182" s="1" t="s">
        <v>1046</v>
      </c>
      <c r="B182" s="3" t="s">
        <v>1047</v>
      </c>
      <c r="C182" s="3" t="s">
        <v>1047</v>
      </c>
      <c r="D182" s="3" t="s">
        <v>1048</v>
      </c>
      <c r="E182" s="1" t="s">
        <v>1049</v>
      </c>
      <c r="F182" s="3" t="s">
        <v>1050</v>
      </c>
      <c r="G182" s="3">
        <v>2.87424</v>
      </c>
      <c r="H182" s="4">
        <f t="shared" si="6"/>
        <v>1.10090935464756</v>
      </c>
      <c r="I182" s="1">
        <v>0.0532479993999004</v>
      </c>
      <c r="J182">
        <f>(E182/I182)</f>
        <v>39.9606208378811</v>
      </c>
      <c r="K182">
        <f>(F182/I182)</f>
        <v>49.0307088091068</v>
      </c>
      <c r="L182">
        <f>(G182/I182)</f>
        <v>53.9783659929461</v>
      </c>
    </row>
    <row r="183" spans="1:12">
      <c r="A183" s="1" t="s">
        <v>1051</v>
      </c>
      <c r="B183" s="3" t="s">
        <v>1052</v>
      </c>
      <c r="C183" s="3" t="s">
        <v>1052</v>
      </c>
      <c r="D183" s="3" t="s">
        <v>1053</v>
      </c>
      <c r="E183" s="1" t="s">
        <v>1054</v>
      </c>
      <c r="F183" s="3" t="s">
        <v>1055</v>
      </c>
      <c r="G183" s="3" t="s">
        <v>1056</v>
      </c>
      <c r="H183" s="2">
        <f t="shared" si="6"/>
        <v>17.1812573232409</v>
      </c>
      <c r="I183" s="2"/>
    </row>
    <row r="184" spans="1:12">
      <c r="A184" s="1" t="s">
        <v>1057</v>
      </c>
      <c r="B184" s="3" t="s">
        <v>1058</v>
      </c>
      <c r="C184" s="3" t="s">
        <v>1058</v>
      </c>
      <c r="D184" s="3" t="s">
        <v>1059</v>
      </c>
      <c r="E184" s="1" t="s">
        <v>1060</v>
      </c>
      <c r="F184" s="3" t="s">
        <v>1061</v>
      </c>
      <c r="G184" s="3" t="s">
        <v>1062</v>
      </c>
      <c r="H184" s="2">
        <f t="shared" si="6"/>
        <v>257.208014809164</v>
      </c>
      <c r="I184" s="2"/>
    </row>
    <row r="185" spans="1:12">
      <c r="A185" s="1" t="s">
        <v>1063</v>
      </c>
      <c r="B185" s="3" t="s">
        <v>1064</v>
      </c>
      <c r="C185" s="3" t="s">
        <v>1064</v>
      </c>
      <c r="D185" s="3" t="s">
        <v>1065</v>
      </c>
      <c r="E185" s="1" t="s">
        <v>1066</v>
      </c>
      <c r="F185" s="3" t="s">
        <v>1067</v>
      </c>
      <c r="G185" s="3" t="s">
        <v>1068</v>
      </c>
      <c r="H185" s="2">
        <f t="shared" si="6"/>
        <v>10.4695329554625</v>
      </c>
      <c r="I185" s="2"/>
    </row>
    <row r="186" spans="1:12">
      <c r="A186" s="1" t="s">
        <v>1069</v>
      </c>
      <c r="B186" s="3" t="s">
        <v>1070</v>
      </c>
      <c r="C186" s="3" t="s">
        <v>1070</v>
      </c>
      <c r="D186" s="3" t="s">
        <v>1071</v>
      </c>
      <c r="E186" s="1" t="s">
        <v>1072</v>
      </c>
      <c r="F186" s="3" t="s">
        <v>1073</v>
      </c>
      <c r="G186" s="3" t="s">
        <v>1074</v>
      </c>
      <c r="H186" s="2">
        <f t="shared" si="6"/>
        <v>83.0779129439502</v>
      </c>
      <c r="I186" s="2"/>
    </row>
    <row r="187" spans="1:12">
      <c r="A187" s="1" t="s">
        <v>1075</v>
      </c>
      <c r="B187" s="3" t="s">
        <v>1076</v>
      </c>
      <c r="C187" s="3" t="s">
        <v>1076</v>
      </c>
      <c r="D187" s="3" t="s">
        <v>1077</v>
      </c>
      <c r="E187" s="1" t="s">
        <v>1078</v>
      </c>
      <c r="F187" s="3" t="s">
        <v>1079</v>
      </c>
      <c r="G187" s="3" t="s">
        <v>1080</v>
      </c>
      <c r="H187" s="2">
        <f t="shared" si="6"/>
        <v>1.59305893971968</v>
      </c>
      <c r="I187" s="2"/>
    </row>
    <row r="188" spans="1:12">
      <c r="A188" s="1" t="s">
        <v>1081</v>
      </c>
      <c r="B188" s="3" t="s">
        <v>1082</v>
      </c>
      <c r="C188" s="3" t="s">
        <v>1082</v>
      </c>
      <c r="D188" s="3" t="s">
        <v>1083</v>
      </c>
      <c r="E188" s="1" t="s">
        <v>1084</v>
      </c>
      <c r="F188" s="3" t="s">
        <v>1085</v>
      </c>
      <c r="G188" s="3" t="s">
        <v>1086</v>
      </c>
      <c r="H188" s="2">
        <f t="shared" si="6"/>
        <v>4.63179331737714</v>
      </c>
      <c r="I188" s="2"/>
    </row>
    <row r="189" spans="1:12">
      <c r="A189" s="1" t="s">
        <v>1087</v>
      </c>
      <c r="B189" s="3" t="s">
        <v>1088</v>
      </c>
      <c r="C189" s="3" t="s">
        <v>1088</v>
      </c>
      <c r="D189" s="3" t="s">
        <v>1089</v>
      </c>
      <c r="E189" s="1" t="s">
        <v>1090</v>
      </c>
      <c r="F189" s="3" t="s">
        <v>1091</v>
      </c>
      <c r="G189" s="3" t="s">
        <v>1092</v>
      </c>
      <c r="H189" s="2">
        <f t="shared" si="6"/>
        <v>1362.62724586369</v>
      </c>
      <c r="I189" s="2"/>
    </row>
    <row r="190" spans="1:12">
      <c r="A190" s="1" t="s">
        <v>1093</v>
      </c>
      <c r="B190" s="3" t="s">
        <v>1094</v>
      </c>
      <c r="C190" s="3" t="s">
        <v>1094</v>
      </c>
      <c r="D190" s="3" t="s">
        <v>1095</v>
      </c>
      <c r="E190" s="1" t="s">
        <v>1096</v>
      </c>
      <c r="F190" s="3" t="s">
        <v>1097</v>
      </c>
      <c r="G190" s="3" t="s">
        <v>1098</v>
      </c>
      <c r="H190" s="2">
        <f t="shared" si="6"/>
        <v>2.9794996613354</v>
      </c>
      <c r="I190" s="2"/>
    </row>
    <row r="191" spans="1:12">
      <c r="A191" s="1" t="s">
        <v>1099</v>
      </c>
      <c r="B191" s="3" t="s">
        <v>1100</v>
      </c>
      <c r="C191" s="3" t="s">
        <v>1100</v>
      </c>
      <c r="D191" s="3" t="s">
        <v>1101</v>
      </c>
      <c r="E191" s="1" t="s">
        <v>1102</v>
      </c>
      <c r="F191" s="3" t="s">
        <v>1103</v>
      </c>
      <c r="G191" s="3" t="s">
        <v>1104</v>
      </c>
      <c r="H191" s="2">
        <f t="shared" si="6"/>
        <v>1.42379516479581</v>
      </c>
      <c r="I191" s="2"/>
    </row>
    <row r="192" spans="1:12">
      <c r="A192" s="1" t="s">
        <v>1105</v>
      </c>
      <c r="B192" s="3" t="s">
        <v>1106</v>
      </c>
      <c r="C192" s="3" t="s">
        <v>1106</v>
      </c>
      <c r="D192" s="3" t="s">
        <v>1107</v>
      </c>
      <c r="E192" s="1" t="s">
        <v>1108</v>
      </c>
      <c r="F192" s="3" t="s">
        <v>1109</v>
      </c>
      <c r="G192" s="3" t="s">
        <v>1110</v>
      </c>
      <c r="H192" s="2">
        <f t="shared" si="6"/>
        <v>2.29421431531653</v>
      </c>
      <c r="I192" s="2"/>
    </row>
    <row r="193" spans="1:12">
      <c r="A193" s="1" t="s">
        <v>1111</v>
      </c>
      <c r="B193" s="3" t="s">
        <v>1112</v>
      </c>
      <c r="C193" s="3" t="s">
        <v>1112</v>
      </c>
      <c r="D193" s="3" t="s">
        <v>1113</v>
      </c>
      <c r="E193" s="1" t="s">
        <v>1114</v>
      </c>
      <c r="F193" s="3" t="s">
        <v>1115</v>
      </c>
      <c r="G193" s="3" t="s">
        <v>1116</v>
      </c>
      <c r="H193" s="2">
        <f t="shared" si="6"/>
        <v>1409.50780833419</v>
      </c>
      <c r="I193" s="2"/>
    </row>
    <row r="194" spans="1:12">
      <c r="A194" s="1" t="s">
        <v>1117</v>
      </c>
      <c r="B194" s="3" t="s">
        <v>1118</v>
      </c>
      <c r="C194" s="3" t="s">
        <v>1118</v>
      </c>
      <c r="D194" s="3" t="s">
        <v>1119</v>
      </c>
      <c r="E194" s="1" t="s">
        <v>1120</v>
      </c>
      <c r="F194" s="3" t="s">
        <v>1121</v>
      </c>
      <c r="G194" s="3" t="s">
        <v>1122</v>
      </c>
      <c r="H194" s="2">
        <f t="shared" si="6"/>
        <v>12.4977332811076</v>
      </c>
      <c r="I194" s="2"/>
    </row>
    <row r="195" spans="1:12">
      <c r="A195" s="1" t="s">
        <v>1123</v>
      </c>
      <c r="B195" s="3" t="s">
        <v>298</v>
      </c>
      <c r="C195" s="3" t="s">
        <v>298</v>
      </c>
      <c r="D195" s="3" t="s">
        <v>299</v>
      </c>
      <c r="E195" s="1" t="s">
        <v>1124</v>
      </c>
      <c r="F195" s="3" t="s">
        <v>1125</v>
      </c>
      <c r="G195" s="3" t="s">
        <v>1126</v>
      </c>
      <c r="H195" s="2">
        <f t="shared" si="6"/>
        <v>1.79621315832518</v>
      </c>
      <c r="I195" s="2"/>
    </row>
    <row r="196" spans="1:12">
      <c r="A196" s="1" t="s">
        <v>1127</v>
      </c>
      <c r="B196" s="3" t="s">
        <v>1128</v>
      </c>
      <c r="C196" s="3" t="s">
        <v>1128</v>
      </c>
      <c r="D196" s="3" t="s">
        <v>1129</v>
      </c>
      <c r="E196" s="1" t="s">
        <v>1130</v>
      </c>
      <c r="F196" s="3" t="s">
        <v>1131</v>
      </c>
      <c r="G196" s="3" t="s">
        <v>1132</v>
      </c>
      <c r="H196" s="4">
        <f t="shared" si="6"/>
        <v>0.83271565546738</v>
      </c>
      <c r="I196" s="1">
        <v>0.0389119982719421</v>
      </c>
      <c r="J196">
        <f>(E196/I196)</f>
        <v>26.0754524497001</v>
      </c>
      <c r="K196">
        <f>(F196/I196)</f>
        <v>39.6294990311487</v>
      </c>
      <c r="L196">
        <f>(G196/I196)</f>
        <v>33.0001042615669</v>
      </c>
    </row>
    <row r="197" spans="1:12">
      <c r="A197" s="1" t="s">
        <v>1133</v>
      </c>
      <c r="B197" s="3" t="s">
        <v>1134</v>
      </c>
      <c r="C197" s="3" t="s">
        <v>1134</v>
      </c>
      <c r="D197" s="3" t="s">
        <v>1135</v>
      </c>
      <c r="E197" s="1" t="s">
        <v>1136</v>
      </c>
      <c r="F197" s="3" t="s">
        <v>1137</v>
      </c>
      <c r="G197" s="3" t="s">
        <v>1138</v>
      </c>
      <c r="H197" s="2">
        <f t="shared" si="6"/>
        <v>2.58779556731576</v>
      </c>
      <c r="I197" s="2"/>
    </row>
    <row r="198" spans="1:12">
      <c r="A198" s="1" t="s">
        <v>1139</v>
      </c>
      <c r="B198" s="3" t="s">
        <v>1140</v>
      </c>
      <c r="C198" s="3" t="s">
        <v>1140</v>
      </c>
      <c r="D198" s="3" t="s">
        <v>1141</v>
      </c>
      <c r="E198" s="1" t="s">
        <v>1142</v>
      </c>
      <c r="F198" s="3" t="s">
        <v>1143</v>
      </c>
      <c r="G198" s="3" t="s">
        <v>1144</v>
      </c>
      <c r="H198" s="2">
        <f t="shared" si="6"/>
        <v>1.64239963452707</v>
      </c>
      <c r="I198" s="2"/>
    </row>
    <row r="199" spans="1:12">
      <c r="A199" s="1" t="s">
        <v>1145</v>
      </c>
      <c r="B199" s="3" t="s">
        <v>1146</v>
      </c>
      <c r="C199" s="3" t="s">
        <v>1146</v>
      </c>
      <c r="D199" s="3" t="s">
        <v>1147</v>
      </c>
      <c r="E199" s="1" t="s">
        <v>1148</v>
      </c>
      <c r="F199" s="3" t="s">
        <v>1149</v>
      </c>
      <c r="G199" s="3" t="s">
        <v>1150</v>
      </c>
      <c r="H199" s="2">
        <f t="shared" si="6"/>
        <v>4.32871155167289</v>
      </c>
      <c r="I199" s="2"/>
    </row>
    <row r="200" spans="1:12">
      <c r="A200" s="1" t="s">
        <v>1151</v>
      </c>
      <c r="B200" s="3" t="s">
        <v>1152</v>
      </c>
      <c r="C200" s="3" t="s">
        <v>1152</v>
      </c>
      <c r="D200" s="3" t="s">
        <v>1153</v>
      </c>
      <c r="E200" s="1" t="s">
        <v>1154</v>
      </c>
      <c r="F200" s="3" t="s">
        <v>1155</v>
      </c>
      <c r="G200" s="3" t="s">
        <v>1156</v>
      </c>
      <c r="H200" s="2">
        <f t="shared" si="6"/>
        <v>3.07010524500546</v>
      </c>
      <c r="I200" s="2"/>
    </row>
    <row r="201" spans="1:12">
      <c r="A201" s="1" t="s">
        <v>1157</v>
      </c>
      <c r="B201" s="3" t="s">
        <v>1158</v>
      </c>
      <c r="C201" s="3" t="s">
        <v>1158</v>
      </c>
      <c r="D201" s="3" t="s">
        <v>1159</v>
      </c>
      <c r="E201" s="1" t="s">
        <v>1160</v>
      </c>
      <c r="F201" s="3" t="s">
        <v>1161</v>
      </c>
      <c r="G201" s="3" t="s">
        <v>1162</v>
      </c>
      <c r="H201" s="2">
        <f t="shared" si="6"/>
        <v>61.310266589971</v>
      </c>
      <c r="I201" s="2"/>
    </row>
    <row r="202" spans="1:12">
      <c r="A202" s="1" t="s">
        <v>1163</v>
      </c>
      <c r="B202" s="3" t="s">
        <v>1164</v>
      </c>
      <c r="C202" s="3" t="s">
        <v>1164</v>
      </c>
      <c r="D202" s="3" t="s">
        <v>1165</v>
      </c>
      <c r="E202" s="1" t="s">
        <v>1166</v>
      </c>
      <c r="F202" s="3" t="s">
        <v>1167</v>
      </c>
      <c r="G202" s="3" t="s">
        <v>1168</v>
      </c>
      <c r="H202" s="2">
        <f t="shared" ref="H202:H265" si="7">(G202/F202)</f>
        <v>1.40776132530096</v>
      </c>
      <c r="I202" s="2"/>
    </row>
    <row r="203" spans="1:12">
      <c r="A203" s="1" t="s">
        <v>1169</v>
      </c>
      <c r="B203" s="3" t="s">
        <v>1170</v>
      </c>
      <c r="C203" s="3" t="s">
        <v>1170</v>
      </c>
      <c r="D203" s="3" t="s">
        <v>1171</v>
      </c>
      <c r="E203" s="1" t="s">
        <v>1172</v>
      </c>
      <c r="F203" s="3" t="s">
        <v>1173</v>
      </c>
      <c r="G203" s="3" t="s">
        <v>1174</v>
      </c>
      <c r="H203" s="2">
        <f t="shared" si="7"/>
        <v>6.10459194021502</v>
      </c>
      <c r="I203" s="2"/>
    </row>
    <row r="204" spans="1:12">
      <c r="A204" s="1" t="s">
        <v>1175</v>
      </c>
      <c r="B204" s="3" t="s">
        <v>1176</v>
      </c>
      <c r="C204" s="3" t="s">
        <v>1176</v>
      </c>
      <c r="D204" s="3" t="s">
        <v>1177</v>
      </c>
      <c r="E204" s="1" t="s">
        <v>1178</v>
      </c>
      <c r="F204" s="3" t="s">
        <v>1179</v>
      </c>
      <c r="G204" s="3" t="s">
        <v>1180</v>
      </c>
      <c r="H204" s="2">
        <f t="shared" si="7"/>
        <v>2.99948836478968</v>
      </c>
      <c r="I204" s="2"/>
    </row>
    <row r="205" spans="1:12">
      <c r="A205" s="1" t="s">
        <v>1181</v>
      </c>
      <c r="B205" s="3" t="s">
        <v>1182</v>
      </c>
      <c r="C205" s="3" t="s">
        <v>1182</v>
      </c>
      <c r="D205" s="3" t="s">
        <v>1183</v>
      </c>
      <c r="E205" s="1" t="s">
        <v>1184</v>
      </c>
      <c r="F205" s="3" t="s">
        <v>1185</v>
      </c>
      <c r="G205" s="3" t="s">
        <v>1186</v>
      </c>
      <c r="H205" s="2">
        <f t="shared" si="7"/>
        <v>2.82834619125239</v>
      </c>
      <c r="I205" s="2"/>
    </row>
    <row r="206" spans="1:12">
      <c r="A206" s="1" t="s">
        <v>1187</v>
      </c>
      <c r="B206" s="3" t="s">
        <v>1188</v>
      </c>
      <c r="C206" s="3" t="s">
        <v>1188</v>
      </c>
      <c r="D206" s="3" t="s">
        <v>1189</v>
      </c>
      <c r="E206" s="1" t="s">
        <v>1190</v>
      </c>
      <c r="F206" s="3" t="s">
        <v>1191</v>
      </c>
      <c r="G206" s="3" t="s">
        <v>1192</v>
      </c>
      <c r="H206" s="2">
        <f t="shared" si="7"/>
        <v>1.77175653424349</v>
      </c>
      <c r="I206" s="2"/>
    </row>
    <row r="207" spans="1:12">
      <c r="A207" s="1" t="s">
        <v>1193</v>
      </c>
      <c r="B207" s="3" t="s">
        <v>1194</v>
      </c>
      <c r="C207" s="3" t="s">
        <v>1194</v>
      </c>
      <c r="D207" s="3" t="s">
        <v>1195</v>
      </c>
      <c r="E207" s="1" t="s">
        <v>1196</v>
      </c>
      <c r="F207" s="3" t="s">
        <v>1197</v>
      </c>
      <c r="G207" s="3" t="s">
        <v>1198</v>
      </c>
      <c r="H207" s="2">
        <f t="shared" si="7"/>
        <v>62.9008620686253</v>
      </c>
      <c r="I207" s="2"/>
    </row>
    <row r="208" spans="1:12">
      <c r="A208" s="1" t="s">
        <v>1199</v>
      </c>
      <c r="B208" s="3" t="s">
        <v>1200</v>
      </c>
      <c r="C208" s="3" t="s">
        <v>1200</v>
      </c>
      <c r="D208" s="3" t="s">
        <v>1201</v>
      </c>
      <c r="E208" s="1" t="s">
        <v>1202</v>
      </c>
      <c r="F208" s="3" t="s">
        <v>1203</v>
      </c>
      <c r="G208" s="3" t="s">
        <v>1204</v>
      </c>
      <c r="H208" s="2">
        <f t="shared" si="7"/>
        <v>13.5479552370039</v>
      </c>
      <c r="I208" s="2"/>
    </row>
    <row r="209" spans="1:12">
      <c r="A209" s="1" t="s">
        <v>1205</v>
      </c>
      <c r="B209" s="3" t="s">
        <v>1206</v>
      </c>
      <c r="C209" s="3" t="s">
        <v>1206</v>
      </c>
      <c r="D209" s="3" t="s">
        <v>1207</v>
      </c>
      <c r="E209" s="1" t="s">
        <v>1208</v>
      </c>
      <c r="F209" s="3" t="s">
        <v>1209</v>
      </c>
      <c r="G209" s="3" t="s">
        <v>1210</v>
      </c>
      <c r="H209" s="2">
        <f t="shared" si="7"/>
        <v>4.09429223288389</v>
      </c>
      <c r="I209" s="2"/>
    </row>
    <row r="210" spans="1:12">
      <c r="A210" s="1" t="s">
        <v>1211</v>
      </c>
      <c r="B210" s="3" t="s">
        <v>1212</v>
      </c>
      <c r="C210" s="3" t="s">
        <v>1212</v>
      </c>
      <c r="D210" s="3" t="s">
        <v>1213</v>
      </c>
      <c r="E210" s="1" t="s">
        <v>1214</v>
      </c>
      <c r="F210" s="3" t="s">
        <v>1215</v>
      </c>
      <c r="G210" s="3" t="s">
        <v>1216</v>
      </c>
      <c r="H210" s="2">
        <f t="shared" si="7"/>
        <v>1.2656369279522</v>
      </c>
      <c r="I210" s="2"/>
    </row>
    <row r="211" spans="1:12">
      <c r="A211" s="1" t="s">
        <v>1217</v>
      </c>
      <c r="B211" s="3" t="s">
        <v>1218</v>
      </c>
      <c r="C211" s="3" t="s">
        <v>1218</v>
      </c>
      <c r="D211" s="3" t="s">
        <v>1219</v>
      </c>
      <c r="E211" s="6" t="s">
        <v>1220</v>
      </c>
      <c r="F211" s="3" t="s">
        <v>1221</v>
      </c>
      <c r="G211" s="3" t="s">
        <v>1222</v>
      </c>
      <c r="H211" s="4">
        <f t="shared" si="7"/>
        <v>0.971226805680352</v>
      </c>
      <c r="I211" s="1">
        <v>0.118784002959728</v>
      </c>
      <c r="J211">
        <f>(E211/I211)</f>
        <v>42.4916817303029</v>
      </c>
      <c r="K211">
        <f>(F211/I211)</f>
        <v>43.510574694634</v>
      </c>
      <c r="L211">
        <f>(G211/I211)</f>
        <v>42.2586364739857</v>
      </c>
    </row>
    <row r="212" spans="1:12">
      <c r="A212" s="1" t="s">
        <v>1223</v>
      </c>
      <c r="B212" s="3" t="s">
        <v>1224</v>
      </c>
      <c r="C212" s="3" t="s">
        <v>1224</v>
      </c>
      <c r="D212" s="3" t="s">
        <v>1225</v>
      </c>
      <c r="E212" s="1" t="s">
        <v>1226</v>
      </c>
      <c r="F212" s="3" t="s">
        <v>1227</v>
      </c>
      <c r="G212" s="3" t="s">
        <v>1228</v>
      </c>
      <c r="H212" s="2">
        <f t="shared" si="7"/>
        <v>13.6464907681493</v>
      </c>
      <c r="I212" s="2"/>
    </row>
    <row r="213" spans="1:12">
      <c r="A213" s="1" t="s">
        <v>1229</v>
      </c>
      <c r="B213" s="3" t="s">
        <v>1230</v>
      </c>
      <c r="C213" s="3" t="s">
        <v>1230</v>
      </c>
      <c r="D213" s="3" t="s">
        <v>1231</v>
      </c>
      <c r="E213" s="1" t="s">
        <v>1232</v>
      </c>
      <c r="F213" s="3" t="s">
        <v>1233</v>
      </c>
      <c r="G213" s="3" t="s">
        <v>1234</v>
      </c>
      <c r="H213" s="2">
        <f t="shared" si="7"/>
        <v>12.2198458838356</v>
      </c>
      <c r="I213" s="2"/>
    </row>
    <row r="214" spans="1:12">
      <c r="A214" s="1" t="s">
        <v>1235</v>
      </c>
      <c r="B214" s="3" t="s">
        <v>1236</v>
      </c>
      <c r="C214" s="3" t="s">
        <v>1236</v>
      </c>
      <c r="D214" s="3" t="s">
        <v>1237</v>
      </c>
      <c r="E214" s="1" t="s">
        <v>1238</v>
      </c>
      <c r="F214" s="3" t="s">
        <v>1239</v>
      </c>
      <c r="G214" s="3" t="s">
        <v>1240</v>
      </c>
      <c r="H214" s="2">
        <f t="shared" si="7"/>
        <v>2.49707981833216</v>
      </c>
      <c r="I214" s="2"/>
    </row>
    <row r="215" spans="1:12">
      <c r="A215" s="1" t="s">
        <v>1241</v>
      </c>
      <c r="B215" s="3" t="s">
        <v>1242</v>
      </c>
      <c r="C215" s="3" t="s">
        <v>1242</v>
      </c>
      <c r="D215" s="3" t="s">
        <v>1243</v>
      </c>
      <c r="E215" s="1" t="s">
        <v>1244</v>
      </c>
      <c r="F215" s="3" t="s">
        <v>1245</v>
      </c>
      <c r="G215" s="3" t="s">
        <v>1246</v>
      </c>
      <c r="H215" s="2">
        <f t="shared" si="7"/>
        <v>30.6587684488936</v>
      </c>
      <c r="I215" s="2"/>
    </row>
    <row r="216" spans="1:12">
      <c r="A216" s="1" t="s">
        <v>1247</v>
      </c>
      <c r="B216" s="3" t="s">
        <v>1248</v>
      </c>
      <c r="C216" s="3" t="s">
        <v>1248</v>
      </c>
      <c r="D216" s="3" t="s">
        <v>1249</v>
      </c>
      <c r="E216" s="1" t="s">
        <v>1250</v>
      </c>
      <c r="F216" s="3" t="s">
        <v>1251</v>
      </c>
      <c r="G216" s="3" t="s">
        <v>1252</v>
      </c>
      <c r="H216" s="2">
        <f t="shared" si="7"/>
        <v>1.58988386498196</v>
      </c>
      <c r="I216" s="2"/>
    </row>
    <row r="217" spans="1:12">
      <c r="A217" s="1" t="s">
        <v>1253</v>
      </c>
      <c r="B217" s="3" t="s">
        <v>35</v>
      </c>
      <c r="C217" s="3" t="s">
        <v>35</v>
      </c>
      <c r="D217" s="3" t="s">
        <v>36</v>
      </c>
      <c r="E217" s="1" t="s">
        <v>1254</v>
      </c>
      <c r="F217" s="3" t="s">
        <v>1255</v>
      </c>
      <c r="G217" s="3" t="s">
        <v>1256</v>
      </c>
      <c r="H217" s="2">
        <f t="shared" si="7"/>
        <v>3.44979921839867</v>
      </c>
      <c r="I217" s="2"/>
    </row>
    <row r="218" spans="1:12">
      <c r="A218" s="1" t="s">
        <v>1257</v>
      </c>
      <c r="B218" s="3" t="s">
        <v>178</v>
      </c>
      <c r="C218" s="3" t="s">
        <v>178</v>
      </c>
      <c r="D218" s="3" t="s">
        <v>1258</v>
      </c>
      <c r="E218" s="1" t="s">
        <v>1259</v>
      </c>
      <c r="F218" s="3" t="s">
        <v>1260</v>
      </c>
      <c r="G218" s="3" t="s">
        <v>1261</v>
      </c>
      <c r="H218" s="2">
        <f t="shared" si="7"/>
        <v>26.1884457797072</v>
      </c>
      <c r="I218" s="2"/>
    </row>
    <row r="219" spans="1:12">
      <c r="A219" s="1" t="s">
        <v>1262</v>
      </c>
      <c r="B219" s="3" t="s">
        <v>1263</v>
      </c>
      <c r="C219" s="3" t="s">
        <v>1263</v>
      </c>
      <c r="D219" s="3" t="s">
        <v>1264</v>
      </c>
      <c r="E219" s="1" t="s">
        <v>1265</v>
      </c>
      <c r="F219" s="3" t="s">
        <v>1266</v>
      </c>
      <c r="G219" s="3" t="s">
        <v>1267</v>
      </c>
      <c r="H219" s="2">
        <f t="shared" si="7"/>
        <v>1.42033306645619</v>
      </c>
      <c r="I219" s="2"/>
    </row>
    <row r="220" spans="1:12">
      <c r="A220" s="1" t="s">
        <v>1268</v>
      </c>
      <c r="B220" s="3" t="s">
        <v>1269</v>
      </c>
      <c r="C220" s="3" t="s">
        <v>1269</v>
      </c>
      <c r="D220" s="3" t="s">
        <v>1270</v>
      </c>
      <c r="E220" s="1" t="s">
        <v>1271</v>
      </c>
      <c r="F220" s="3" t="s">
        <v>1272</v>
      </c>
      <c r="G220" s="3" t="s">
        <v>1273</v>
      </c>
      <c r="H220" s="2">
        <f t="shared" si="7"/>
        <v>2.73808763099135</v>
      </c>
      <c r="I220" s="2"/>
    </row>
    <row r="221" spans="1:12">
      <c r="A221" s="1" t="s">
        <v>1274</v>
      </c>
      <c r="B221" s="3" t="s">
        <v>1275</v>
      </c>
      <c r="C221" s="3" t="s">
        <v>1275</v>
      </c>
      <c r="D221" s="3" t="s">
        <v>1276</v>
      </c>
      <c r="E221" s="1" t="s">
        <v>1277</v>
      </c>
      <c r="F221" s="3" t="s">
        <v>1278</v>
      </c>
      <c r="G221" s="3" t="s">
        <v>1279</v>
      </c>
      <c r="H221" s="2">
        <f t="shared" si="7"/>
        <v>14.9743312249565</v>
      </c>
      <c r="I221" s="2"/>
    </row>
    <row r="222" spans="1:12">
      <c r="A222" s="1" t="s">
        <v>1280</v>
      </c>
      <c r="B222" s="3" t="s">
        <v>1281</v>
      </c>
      <c r="C222" s="3" t="s">
        <v>1281</v>
      </c>
      <c r="D222" s="3" t="s">
        <v>1282</v>
      </c>
      <c r="E222" s="1" t="s">
        <v>1283</v>
      </c>
      <c r="F222" s="3" t="s">
        <v>1284</v>
      </c>
      <c r="G222" s="3" t="s">
        <v>1285</v>
      </c>
      <c r="H222" s="2">
        <f t="shared" si="7"/>
        <v>41.251691499563</v>
      </c>
      <c r="I222" s="2"/>
    </row>
    <row r="223" spans="1:12">
      <c r="A223" s="1" t="s">
        <v>1286</v>
      </c>
      <c r="B223" s="3" t="s">
        <v>1287</v>
      </c>
      <c r="C223" s="3" t="s">
        <v>1287</v>
      </c>
      <c r="D223" s="3" t="s">
        <v>1288</v>
      </c>
      <c r="E223" s="1" t="s">
        <v>1289</v>
      </c>
      <c r="F223" s="3" t="s">
        <v>1290</v>
      </c>
      <c r="G223" s="3" t="s">
        <v>1291</v>
      </c>
      <c r="H223" s="2">
        <f t="shared" si="7"/>
        <v>7.90634462443858</v>
      </c>
      <c r="I223" s="2"/>
    </row>
    <row r="224" spans="1:12">
      <c r="A224" s="1" t="s">
        <v>1292</v>
      </c>
      <c r="B224" s="3" t="s">
        <v>1293</v>
      </c>
      <c r="C224" s="3" t="s">
        <v>1293</v>
      </c>
      <c r="D224" s="3" t="s">
        <v>1294</v>
      </c>
      <c r="E224" s="1" t="s">
        <v>1295</v>
      </c>
      <c r="F224" s="3" t="s">
        <v>1296</v>
      </c>
      <c r="G224" s="3" t="s">
        <v>1297</v>
      </c>
      <c r="H224" s="2">
        <f t="shared" si="7"/>
        <v>6.49070254981561</v>
      </c>
      <c r="I224" s="2"/>
    </row>
    <row r="225" spans="1:12">
      <c r="A225" s="1" t="s">
        <v>1298</v>
      </c>
      <c r="B225" s="3" t="s">
        <v>1299</v>
      </c>
      <c r="C225" s="3" t="s">
        <v>1299</v>
      </c>
      <c r="D225" s="3" t="s">
        <v>1300</v>
      </c>
      <c r="E225" s="6" t="s">
        <v>1301</v>
      </c>
      <c r="F225" s="3" t="s">
        <v>1302</v>
      </c>
      <c r="G225" s="3" t="s">
        <v>1303</v>
      </c>
      <c r="H225" s="4">
        <f t="shared" si="7"/>
        <v>0.891876462178286</v>
      </c>
      <c r="I225" s="1">
        <v>0.285695999860763</v>
      </c>
      <c r="J225">
        <f>(E225/I225)</f>
        <v>35.7547805127845</v>
      </c>
      <c r="K225">
        <f>(F225/I225)</f>
        <v>44.443304121363</v>
      </c>
      <c r="L225">
        <f>(G225/I225)</f>
        <v>39.6379368472749</v>
      </c>
    </row>
    <row r="226" spans="1:12">
      <c r="A226" s="1" t="s">
        <v>1304</v>
      </c>
      <c r="B226" s="3" t="s">
        <v>1305</v>
      </c>
      <c r="C226" s="3" t="s">
        <v>1305</v>
      </c>
      <c r="D226" s="3" t="s">
        <v>1306</v>
      </c>
      <c r="E226" s="1" t="s">
        <v>1307</v>
      </c>
      <c r="F226" s="3" t="s">
        <v>1308</v>
      </c>
      <c r="G226" s="3" t="s">
        <v>1309</v>
      </c>
      <c r="H226" s="2">
        <f t="shared" si="7"/>
        <v>9.82231830332287</v>
      </c>
      <c r="I226" s="2"/>
    </row>
    <row r="227" spans="1:12">
      <c r="A227" s="1" t="s">
        <v>1310</v>
      </c>
      <c r="B227" s="3" t="s">
        <v>645</v>
      </c>
      <c r="C227" s="3" t="s">
        <v>645</v>
      </c>
      <c r="D227" s="3" t="s">
        <v>1311</v>
      </c>
      <c r="E227" s="1" t="s">
        <v>1312</v>
      </c>
      <c r="F227" s="3" t="s">
        <v>1313</v>
      </c>
      <c r="G227" s="3" t="s">
        <v>1314</v>
      </c>
      <c r="H227" s="2">
        <f t="shared" si="7"/>
        <v>24.0435244793052</v>
      </c>
      <c r="I227" s="2"/>
    </row>
    <row r="228" spans="1:12">
      <c r="A228" s="1" t="s">
        <v>1315</v>
      </c>
      <c r="B228" s="3" t="s">
        <v>762</v>
      </c>
      <c r="C228" s="3" t="s">
        <v>762</v>
      </c>
      <c r="D228" s="3" t="s">
        <v>1316</v>
      </c>
      <c r="E228" s="1" t="s">
        <v>1317</v>
      </c>
      <c r="F228" s="3" t="s">
        <v>1318</v>
      </c>
      <c r="G228" s="3" t="s">
        <v>1319</v>
      </c>
      <c r="H228" s="2">
        <f t="shared" si="7"/>
        <v>6.54599187010096</v>
      </c>
      <c r="I228" s="2"/>
    </row>
    <row r="229" spans="1:12">
      <c r="A229" s="1" t="s">
        <v>1320</v>
      </c>
      <c r="B229" s="3" t="s">
        <v>1321</v>
      </c>
      <c r="C229" s="3" t="s">
        <v>1321</v>
      </c>
      <c r="D229" s="3" t="s">
        <v>1322</v>
      </c>
      <c r="E229" s="1" t="s">
        <v>1323</v>
      </c>
      <c r="F229" s="3" t="s">
        <v>1324</v>
      </c>
      <c r="G229" s="3" t="s">
        <v>1325</v>
      </c>
      <c r="H229" s="2">
        <f t="shared" si="7"/>
        <v>8.37368697340871</v>
      </c>
      <c r="I229" s="2"/>
    </row>
    <row r="230" spans="1:12">
      <c r="A230" s="1" t="s">
        <v>1326</v>
      </c>
      <c r="B230" s="3" t="s">
        <v>645</v>
      </c>
      <c r="C230" s="3" t="s">
        <v>645</v>
      </c>
      <c r="D230" s="3" t="s">
        <v>1327</v>
      </c>
      <c r="E230" s="1" t="s">
        <v>1328</v>
      </c>
      <c r="F230" s="3" t="s">
        <v>1329</v>
      </c>
      <c r="G230" s="3" t="s">
        <v>1330</v>
      </c>
      <c r="H230" s="2">
        <f t="shared" si="7"/>
        <v>23.7977935972832</v>
      </c>
      <c r="I230" s="2"/>
    </row>
    <row r="231" spans="1:12">
      <c r="A231" s="1" t="s">
        <v>1331</v>
      </c>
      <c r="B231" s="3" t="s">
        <v>1332</v>
      </c>
      <c r="C231" s="3" t="s">
        <v>1332</v>
      </c>
      <c r="D231" s="3" t="s">
        <v>1333</v>
      </c>
      <c r="E231" s="1" t="s">
        <v>1334</v>
      </c>
      <c r="F231" s="3" t="s">
        <v>1335</v>
      </c>
      <c r="G231" s="3" t="s">
        <v>1336</v>
      </c>
      <c r="H231" s="2">
        <f t="shared" si="7"/>
        <v>81.7753933275839</v>
      </c>
      <c r="I231" s="2"/>
    </row>
    <row r="232" spans="1:12">
      <c r="A232" s="1" t="s">
        <v>1337</v>
      </c>
      <c r="B232" s="3" t="s">
        <v>822</v>
      </c>
      <c r="C232" s="3" t="s">
        <v>822</v>
      </c>
      <c r="D232" s="3" t="s">
        <v>823</v>
      </c>
      <c r="E232" s="1" t="s">
        <v>1338</v>
      </c>
      <c r="F232" s="3" t="s">
        <v>1339</v>
      </c>
      <c r="G232" s="3" t="s">
        <v>1340</v>
      </c>
      <c r="H232" s="2">
        <f t="shared" si="7"/>
        <v>1.58675282100176</v>
      </c>
      <c r="I232" s="2"/>
    </row>
    <row r="233" spans="1:12">
      <c r="A233" s="1" t="s">
        <v>1341</v>
      </c>
      <c r="B233" s="3" t="s">
        <v>1342</v>
      </c>
      <c r="C233" s="3" t="s">
        <v>1342</v>
      </c>
      <c r="D233" s="3" t="s">
        <v>1343</v>
      </c>
      <c r="E233" s="1" t="s">
        <v>1344</v>
      </c>
      <c r="F233" s="3" t="s">
        <v>1345</v>
      </c>
      <c r="G233" s="3" t="s">
        <v>1346</v>
      </c>
      <c r="H233" s="2">
        <f t="shared" si="7"/>
        <v>139.330235416353</v>
      </c>
      <c r="I233" s="2"/>
    </row>
    <row r="234" spans="1:12">
      <c r="A234" s="1" t="s">
        <v>1347</v>
      </c>
      <c r="B234" s="3" t="s">
        <v>1348</v>
      </c>
      <c r="C234" s="3" t="s">
        <v>1348</v>
      </c>
      <c r="D234" s="3" t="s">
        <v>1349</v>
      </c>
      <c r="E234" s="6" t="s">
        <v>1350</v>
      </c>
      <c r="F234" s="3" t="s">
        <v>1351</v>
      </c>
      <c r="G234" s="3" t="s">
        <v>1352</v>
      </c>
      <c r="H234" s="4">
        <f t="shared" si="7"/>
        <v>1.08532355948128</v>
      </c>
      <c r="I234" s="1">
        <v>0.619520008563995</v>
      </c>
      <c r="J234">
        <f>(E234/I234)</f>
        <v>16.435291698789</v>
      </c>
      <c r="K234">
        <f>(F234/I234)</f>
        <v>25.7942067695797</v>
      </c>
      <c r="L234">
        <f>(G234/I234)</f>
        <v>27.9950603051563</v>
      </c>
    </row>
    <row r="235" spans="1:12">
      <c r="A235" s="1" t="s">
        <v>1353</v>
      </c>
      <c r="B235" s="3" t="s">
        <v>1354</v>
      </c>
      <c r="C235" s="3" t="s">
        <v>1354</v>
      </c>
      <c r="D235" s="3" t="s">
        <v>1355</v>
      </c>
      <c r="E235" s="1" t="s">
        <v>1356</v>
      </c>
      <c r="F235" s="3" t="s">
        <v>1357</v>
      </c>
      <c r="G235" s="3" t="s">
        <v>1358</v>
      </c>
      <c r="H235" s="2">
        <f t="shared" si="7"/>
        <v>5.22822787376817</v>
      </c>
      <c r="I235" s="2"/>
    </row>
    <row r="236" spans="1:12">
      <c r="A236" s="1" t="s">
        <v>1359</v>
      </c>
      <c r="B236" s="3" t="s">
        <v>1152</v>
      </c>
      <c r="C236" s="3" t="s">
        <v>1152</v>
      </c>
      <c r="D236" s="3" t="s">
        <v>1153</v>
      </c>
      <c r="E236" s="1" t="s">
        <v>1360</v>
      </c>
      <c r="F236" s="3" t="s">
        <v>1361</v>
      </c>
      <c r="G236" s="3" t="s">
        <v>1362</v>
      </c>
      <c r="H236" s="2">
        <f t="shared" si="7"/>
        <v>2.97149297070956</v>
      </c>
      <c r="I236" s="2"/>
    </row>
    <row r="237" spans="1:12">
      <c r="A237" s="1" t="s">
        <v>1363</v>
      </c>
      <c r="B237" s="3" t="s">
        <v>1364</v>
      </c>
      <c r="C237" s="3" t="s">
        <v>1364</v>
      </c>
      <c r="D237" s="3" t="s">
        <v>1365</v>
      </c>
      <c r="E237" s="1" t="s">
        <v>1366</v>
      </c>
      <c r="F237" s="3" t="s">
        <v>1367</v>
      </c>
      <c r="G237" s="3" t="s">
        <v>1368</v>
      </c>
      <c r="H237" s="2">
        <f t="shared" si="7"/>
        <v>84.9309283007599</v>
      </c>
      <c r="I237" s="2"/>
    </row>
    <row r="238" spans="1:12">
      <c r="A238" s="1" t="s">
        <v>1369</v>
      </c>
      <c r="B238" s="3" t="s">
        <v>1047</v>
      </c>
      <c r="C238" s="3" t="s">
        <v>1047</v>
      </c>
      <c r="D238" s="3" t="s">
        <v>1048</v>
      </c>
      <c r="E238" s="1" t="s">
        <v>1370</v>
      </c>
      <c r="F238" s="3" t="s">
        <v>1371</v>
      </c>
      <c r="G238" s="3" t="s">
        <v>1372</v>
      </c>
      <c r="H238" s="2">
        <f t="shared" si="7"/>
        <v>1.83873243363113</v>
      </c>
      <c r="I238" s="2"/>
    </row>
    <row r="239" spans="1:12">
      <c r="A239" s="1" t="s">
        <v>1373</v>
      </c>
      <c r="B239" s="3" t="s">
        <v>196</v>
      </c>
      <c r="C239" s="3" t="s">
        <v>196</v>
      </c>
      <c r="D239" s="3" t="s">
        <v>197</v>
      </c>
      <c r="E239" s="1" t="s">
        <v>1374</v>
      </c>
      <c r="F239" s="3" t="s">
        <v>1375</v>
      </c>
      <c r="G239" s="3" t="s">
        <v>1376</v>
      </c>
      <c r="H239" s="2">
        <f t="shared" si="7"/>
        <v>328.987060706945</v>
      </c>
      <c r="I239" s="2"/>
    </row>
    <row r="240" spans="1:12">
      <c r="A240" s="1" t="s">
        <v>1377</v>
      </c>
      <c r="B240" s="3" t="s">
        <v>1176</v>
      </c>
      <c r="C240" s="3" t="s">
        <v>1176</v>
      </c>
      <c r="D240" s="3" t="s">
        <v>1177</v>
      </c>
      <c r="E240" s="1" t="s">
        <v>1378</v>
      </c>
      <c r="F240" s="3" t="s">
        <v>1379</v>
      </c>
      <c r="G240" s="3" t="s">
        <v>1180</v>
      </c>
      <c r="H240" s="2">
        <f t="shared" si="7"/>
        <v>3.65166153940939</v>
      </c>
      <c r="I240" s="2"/>
    </row>
    <row r="241" spans="1:12">
      <c r="A241" s="1" t="s">
        <v>1380</v>
      </c>
      <c r="B241" s="3" t="s">
        <v>1381</v>
      </c>
      <c r="C241" s="3" t="s">
        <v>1381</v>
      </c>
      <c r="D241" s="3" t="s">
        <v>1382</v>
      </c>
      <c r="E241" s="1" t="s">
        <v>1383</v>
      </c>
      <c r="F241" s="3" t="s">
        <v>1384</v>
      </c>
      <c r="G241" s="3" t="s">
        <v>1385</v>
      </c>
      <c r="H241" s="2">
        <f t="shared" si="7"/>
        <v>153.381954675069</v>
      </c>
      <c r="I241" s="2"/>
    </row>
    <row r="242" spans="1:12">
      <c r="A242" s="1" t="s">
        <v>1386</v>
      </c>
      <c r="B242" s="3" t="s">
        <v>1387</v>
      </c>
      <c r="C242" s="3" t="s">
        <v>1387</v>
      </c>
      <c r="D242" s="3" t="s">
        <v>1388</v>
      </c>
      <c r="E242" s="1" t="s">
        <v>1389</v>
      </c>
      <c r="F242" s="3" t="s">
        <v>1390</v>
      </c>
      <c r="G242" s="3" t="s">
        <v>1391</v>
      </c>
      <c r="H242" s="2">
        <f t="shared" si="7"/>
        <v>95.8311479111956</v>
      </c>
      <c r="I242" s="2"/>
    </row>
    <row r="243" spans="1:12">
      <c r="A243" s="1" t="s">
        <v>1392</v>
      </c>
      <c r="B243" s="3" t="s">
        <v>1176</v>
      </c>
      <c r="C243" s="3" t="s">
        <v>1176</v>
      </c>
      <c r="D243" s="3" t="s">
        <v>1393</v>
      </c>
      <c r="E243" s="6" t="s">
        <v>1394</v>
      </c>
      <c r="F243" s="3" t="s">
        <v>1395</v>
      </c>
      <c r="G243" s="3" t="s">
        <v>1396</v>
      </c>
      <c r="H243" s="4">
        <f t="shared" si="7"/>
        <v>1.23789484780496</v>
      </c>
      <c r="I243" s="1">
        <v>0.151552006602287</v>
      </c>
      <c r="J243">
        <f>(E243/I243)</f>
        <v>33.8600131380191</v>
      </c>
      <c r="K243">
        <f>(F243/I243)</f>
        <v>36.8159883852123</v>
      </c>
      <c r="L243">
        <f>(G243/I243)</f>
        <v>45.5743223389017</v>
      </c>
    </row>
    <row r="244" spans="1:12">
      <c r="A244" s="1" t="s">
        <v>1397</v>
      </c>
      <c r="B244" s="3" t="s">
        <v>286</v>
      </c>
      <c r="C244" s="3" t="s">
        <v>286</v>
      </c>
      <c r="D244" s="3" t="s">
        <v>287</v>
      </c>
      <c r="E244" s="1" t="s">
        <v>1398</v>
      </c>
      <c r="F244" s="3" t="s">
        <v>1399</v>
      </c>
      <c r="G244" s="3" t="s">
        <v>1400</v>
      </c>
      <c r="H244" s="2">
        <f t="shared" si="7"/>
        <v>1.57331447700173</v>
      </c>
      <c r="I244" s="2"/>
    </row>
    <row r="245" spans="1:12">
      <c r="A245" s="1" t="s">
        <v>1401</v>
      </c>
      <c r="B245" s="3" t="s">
        <v>1106</v>
      </c>
      <c r="C245" s="3" t="s">
        <v>1106</v>
      </c>
      <c r="D245" s="3" t="s">
        <v>1107</v>
      </c>
      <c r="E245" s="1" t="s">
        <v>1402</v>
      </c>
      <c r="F245" s="3" t="s">
        <v>1403</v>
      </c>
      <c r="G245" s="3" t="s">
        <v>1404</v>
      </c>
      <c r="H245" s="2">
        <f t="shared" si="7"/>
        <v>1.83451816860213</v>
      </c>
      <c r="I245" s="2"/>
    </row>
    <row r="246" spans="1:12">
      <c r="A246" s="1" t="s">
        <v>1405</v>
      </c>
      <c r="B246" s="3" t="s">
        <v>1406</v>
      </c>
      <c r="C246" s="3" t="s">
        <v>1406</v>
      </c>
      <c r="D246" s="3" t="s">
        <v>1407</v>
      </c>
      <c r="E246" s="1" t="s">
        <v>1408</v>
      </c>
      <c r="F246" s="3" t="s">
        <v>1409</v>
      </c>
      <c r="G246" s="3" t="s">
        <v>1410</v>
      </c>
      <c r="H246" s="2">
        <f t="shared" si="7"/>
        <v>3.63677915005781</v>
      </c>
      <c r="I246" s="2"/>
    </row>
    <row r="247" spans="1:12">
      <c r="A247" s="1" t="s">
        <v>1411</v>
      </c>
      <c r="B247" s="3" t="s">
        <v>1412</v>
      </c>
      <c r="C247" s="3" t="s">
        <v>1412</v>
      </c>
      <c r="D247" s="3" t="s">
        <v>1413</v>
      </c>
      <c r="E247" s="1" t="s">
        <v>1414</v>
      </c>
      <c r="F247" s="3" t="s">
        <v>1415</v>
      </c>
      <c r="G247" s="3" t="s">
        <v>1416</v>
      </c>
      <c r="H247" s="2">
        <f t="shared" si="7"/>
        <v>150.443691696422</v>
      </c>
      <c r="I247" s="2"/>
    </row>
    <row r="248" spans="1:12">
      <c r="A248" s="1" t="s">
        <v>1417</v>
      </c>
      <c r="B248" s="3" t="s">
        <v>1418</v>
      </c>
      <c r="C248" s="3" t="s">
        <v>1418</v>
      </c>
      <c r="D248" s="3" t="s">
        <v>1419</v>
      </c>
      <c r="E248" s="1" t="s">
        <v>1420</v>
      </c>
      <c r="F248" s="3" t="s">
        <v>1421</v>
      </c>
      <c r="G248" s="3" t="s">
        <v>1422</v>
      </c>
      <c r="H248" s="2">
        <f t="shared" si="7"/>
        <v>12.7469535308044</v>
      </c>
      <c r="I248" s="2"/>
    </row>
    <row r="249" spans="1:12">
      <c r="A249" s="1" t="s">
        <v>1423</v>
      </c>
      <c r="B249" s="3" t="s">
        <v>1424</v>
      </c>
      <c r="C249" s="3" t="s">
        <v>1424</v>
      </c>
      <c r="D249" s="3" t="s">
        <v>1425</v>
      </c>
      <c r="E249" s="1" t="s">
        <v>1426</v>
      </c>
      <c r="F249" s="3" t="s">
        <v>1427</v>
      </c>
      <c r="G249" s="3" t="s">
        <v>1428</v>
      </c>
      <c r="H249" s="2">
        <f t="shared" si="7"/>
        <v>1.61702927814189</v>
      </c>
      <c r="I249" s="2"/>
    </row>
    <row r="250" spans="1:12">
      <c r="A250" s="1" t="s">
        <v>1429</v>
      </c>
      <c r="B250" s="3" t="s">
        <v>1430</v>
      </c>
      <c r="C250" s="3" t="s">
        <v>1430</v>
      </c>
      <c r="D250" s="3" t="s">
        <v>1431</v>
      </c>
      <c r="E250" s="1" t="s">
        <v>1432</v>
      </c>
      <c r="F250" s="3" t="s">
        <v>1433</v>
      </c>
      <c r="G250" s="3" t="s">
        <v>1434</v>
      </c>
      <c r="H250" s="2">
        <f t="shared" si="7"/>
        <v>4.66374074832286</v>
      </c>
      <c r="I250" s="2"/>
    </row>
    <row r="251" spans="1:12">
      <c r="A251" s="1" t="s">
        <v>1435</v>
      </c>
      <c r="B251" s="3" t="s">
        <v>1430</v>
      </c>
      <c r="C251" s="3" t="s">
        <v>1430</v>
      </c>
      <c r="D251" s="3" t="s">
        <v>1431</v>
      </c>
      <c r="E251" s="1" t="s">
        <v>1436</v>
      </c>
      <c r="F251" s="3" t="s">
        <v>1437</v>
      </c>
      <c r="G251" s="3" t="s">
        <v>1438</v>
      </c>
      <c r="H251" s="2">
        <f t="shared" si="7"/>
        <v>4.7818209110798</v>
      </c>
      <c r="I251" s="2"/>
    </row>
    <row r="252" spans="1:12">
      <c r="A252" s="1" t="s">
        <v>1439</v>
      </c>
      <c r="B252" s="3" t="s">
        <v>1440</v>
      </c>
      <c r="C252" s="3" t="s">
        <v>1440</v>
      </c>
      <c r="D252" s="3" t="s">
        <v>1441</v>
      </c>
      <c r="E252" s="1" t="s">
        <v>1442</v>
      </c>
      <c r="F252" s="3" t="s">
        <v>1443</v>
      </c>
      <c r="G252" s="3" t="s">
        <v>1444</v>
      </c>
      <c r="H252" s="2">
        <f t="shared" si="7"/>
        <v>1.27635255681345</v>
      </c>
      <c r="I252" s="2"/>
    </row>
    <row r="253" spans="1:12">
      <c r="A253" s="1" t="s">
        <v>1445</v>
      </c>
      <c r="B253" s="3" t="s">
        <v>1446</v>
      </c>
      <c r="C253" s="3" t="s">
        <v>1446</v>
      </c>
      <c r="D253" s="3" t="s">
        <v>1447</v>
      </c>
      <c r="E253" s="6" t="s">
        <v>1448</v>
      </c>
      <c r="F253" s="3" t="s">
        <v>1449</v>
      </c>
      <c r="G253" s="3" t="s">
        <v>1450</v>
      </c>
      <c r="H253" s="4">
        <f t="shared" si="7"/>
        <v>0.814445857537672</v>
      </c>
      <c r="I253" s="1">
        <v>0.22835199534893</v>
      </c>
      <c r="J253">
        <f>(E253/I253)</f>
        <v>35.3086112167339</v>
      </c>
      <c r="K253">
        <f>(F253/I253)</f>
        <v>41.4323370839645</v>
      </c>
      <c r="L253">
        <f>(G253/I253)</f>
        <v>33.7443953061393</v>
      </c>
    </row>
    <row r="254" spans="1:12">
      <c r="A254" s="1" t="s">
        <v>1451</v>
      </c>
      <c r="B254" s="3" t="s">
        <v>1452</v>
      </c>
      <c r="C254" s="3" t="s">
        <v>1452</v>
      </c>
      <c r="D254" s="3" t="s">
        <v>1453</v>
      </c>
      <c r="E254" s="1" t="s">
        <v>1454</v>
      </c>
      <c r="F254" s="3" t="s">
        <v>1455</v>
      </c>
      <c r="G254" s="3" t="s">
        <v>1456</v>
      </c>
      <c r="H254" s="2">
        <f t="shared" si="7"/>
        <v>113.6735554942</v>
      </c>
      <c r="I254" s="2"/>
    </row>
    <row r="255" spans="1:12">
      <c r="A255" s="1" t="s">
        <v>1457</v>
      </c>
      <c r="B255" s="3" t="s">
        <v>1458</v>
      </c>
      <c r="C255" s="3" t="s">
        <v>1458</v>
      </c>
      <c r="D255" s="3" t="s">
        <v>1459</v>
      </c>
      <c r="E255" s="1" t="s">
        <v>1460</v>
      </c>
      <c r="F255" s="3" t="s">
        <v>1461</v>
      </c>
      <c r="G255" s="3" t="s">
        <v>1462</v>
      </c>
      <c r="H255" s="2">
        <f t="shared" si="7"/>
        <v>68.8219036781134</v>
      </c>
      <c r="I255" s="2"/>
    </row>
    <row r="256" spans="1:12">
      <c r="A256" s="1" t="s">
        <v>1463</v>
      </c>
      <c r="B256" s="3" t="s">
        <v>448</v>
      </c>
      <c r="C256" s="3" t="s">
        <v>448</v>
      </c>
      <c r="D256" s="3" t="s">
        <v>1464</v>
      </c>
      <c r="E256" s="1" t="s">
        <v>1465</v>
      </c>
      <c r="F256" s="3" t="s">
        <v>1466</v>
      </c>
      <c r="G256" s="3" t="s">
        <v>1467</v>
      </c>
      <c r="H256" s="2">
        <f t="shared" si="7"/>
        <v>3.48112528261896</v>
      </c>
      <c r="I256" s="2"/>
    </row>
    <row r="257" spans="1:9">
      <c r="A257" s="1" t="s">
        <v>1468</v>
      </c>
      <c r="B257" s="3" t="s">
        <v>1469</v>
      </c>
      <c r="C257" s="3" t="s">
        <v>1469</v>
      </c>
      <c r="D257" s="3" t="s">
        <v>1470</v>
      </c>
      <c r="E257" s="1" t="s">
        <v>1471</v>
      </c>
      <c r="F257" s="3" t="s">
        <v>1472</v>
      </c>
      <c r="G257" s="3" t="s">
        <v>1473</v>
      </c>
      <c r="H257" s="2">
        <f t="shared" si="7"/>
        <v>18.4665313871536</v>
      </c>
      <c r="I257" s="2"/>
    </row>
    <row r="258" spans="1:9">
      <c r="A258" s="1" t="s">
        <v>1474</v>
      </c>
      <c r="B258" s="3" t="s">
        <v>1475</v>
      </c>
      <c r="C258" s="3" t="s">
        <v>1475</v>
      </c>
      <c r="D258" s="3" t="s">
        <v>1476</v>
      </c>
      <c r="E258" s="1" t="s">
        <v>1477</v>
      </c>
      <c r="F258" s="3" t="s">
        <v>1478</v>
      </c>
      <c r="G258" s="3" t="s">
        <v>1479</v>
      </c>
      <c r="H258" s="2">
        <f t="shared" si="7"/>
        <v>164.106978261005</v>
      </c>
      <c r="I258" s="2"/>
    </row>
    <row r="259" spans="1:9">
      <c r="A259" s="1" t="s">
        <v>1480</v>
      </c>
      <c r="B259" s="3" t="s">
        <v>1481</v>
      </c>
      <c r="C259" s="3" t="s">
        <v>1481</v>
      </c>
      <c r="D259" s="3" t="s">
        <v>1482</v>
      </c>
      <c r="E259" s="1" t="s">
        <v>1483</v>
      </c>
      <c r="F259" s="3" t="s">
        <v>1484</v>
      </c>
      <c r="G259" s="3" t="s">
        <v>1485</v>
      </c>
      <c r="H259" s="2">
        <f t="shared" si="7"/>
        <v>391.616654024643</v>
      </c>
      <c r="I259" s="2"/>
    </row>
    <row r="260" spans="1:9">
      <c r="A260" s="1" t="s">
        <v>1486</v>
      </c>
      <c r="B260" s="3" t="s">
        <v>1140</v>
      </c>
      <c r="C260" s="3" t="s">
        <v>1140</v>
      </c>
      <c r="D260" s="3" t="s">
        <v>1487</v>
      </c>
      <c r="E260" s="1" t="s">
        <v>1488</v>
      </c>
      <c r="F260" s="3" t="s">
        <v>1489</v>
      </c>
      <c r="G260" s="3" t="s">
        <v>1490</v>
      </c>
      <c r="H260" s="2">
        <f t="shared" si="7"/>
        <v>1.6279476583403</v>
      </c>
      <c r="I260" s="2"/>
    </row>
    <row r="261" spans="1:9">
      <c r="A261" s="1" t="s">
        <v>1491</v>
      </c>
      <c r="B261" s="3" t="s">
        <v>1492</v>
      </c>
      <c r="C261" s="3" t="s">
        <v>1492</v>
      </c>
      <c r="D261" s="3" t="s">
        <v>1493</v>
      </c>
      <c r="E261" s="1" t="s">
        <v>1494</v>
      </c>
      <c r="F261" s="3" t="s">
        <v>1495</v>
      </c>
      <c r="G261" s="3" t="s">
        <v>1496</v>
      </c>
      <c r="H261" s="2">
        <f t="shared" si="7"/>
        <v>4.90401283774791</v>
      </c>
      <c r="I261" s="2"/>
    </row>
    <row r="262" spans="1:9">
      <c r="A262" s="1" t="s">
        <v>1497</v>
      </c>
      <c r="B262" s="3" t="s">
        <v>1498</v>
      </c>
      <c r="C262" s="3" t="s">
        <v>1498</v>
      </c>
      <c r="D262" s="3" t="s">
        <v>1499</v>
      </c>
      <c r="E262" s="1" t="s">
        <v>1500</v>
      </c>
      <c r="F262" s="3" t="s">
        <v>1501</v>
      </c>
      <c r="G262" s="3" t="s">
        <v>1502</v>
      </c>
      <c r="H262" s="2">
        <f t="shared" si="7"/>
        <v>3.96074171422619</v>
      </c>
      <c r="I262" s="2"/>
    </row>
    <row r="263" spans="1:9">
      <c r="A263" s="1" t="s">
        <v>1503</v>
      </c>
      <c r="B263" s="3" t="s">
        <v>750</v>
      </c>
      <c r="C263" s="3" t="s">
        <v>750</v>
      </c>
      <c r="D263" s="3" t="s">
        <v>1504</v>
      </c>
      <c r="E263" s="1" t="s">
        <v>1505</v>
      </c>
      <c r="F263" s="3" t="s">
        <v>1506</v>
      </c>
      <c r="G263" s="3" t="s">
        <v>1507</v>
      </c>
      <c r="H263" s="2">
        <f t="shared" si="7"/>
        <v>4.89280631918233</v>
      </c>
      <c r="I263" s="2"/>
    </row>
    <row r="264" spans="1:9">
      <c r="A264" s="1" t="s">
        <v>1508</v>
      </c>
      <c r="B264" s="3" t="s">
        <v>1509</v>
      </c>
      <c r="C264" s="3" t="s">
        <v>1509</v>
      </c>
      <c r="D264" s="3" t="s">
        <v>1510</v>
      </c>
      <c r="E264" s="1" t="s">
        <v>1511</v>
      </c>
      <c r="F264" s="3" t="s">
        <v>1512</v>
      </c>
      <c r="G264" s="3" t="s">
        <v>1513</v>
      </c>
      <c r="H264" s="2">
        <f t="shared" si="7"/>
        <v>2.61375766904015</v>
      </c>
      <c r="I264" s="2"/>
    </row>
    <row r="265" spans="1:9">
      <c r="A265" s="1" t="s">
        <v>1514</v>
      </c>
      <c r="B265" s="3" t="s">
        <v>1515</v>
      </c>
      <c r="C265" s="3" t="s">
        <v>1515</v>
      </c>
      <c r="D265" s="3" t="s">
        <v>1516</v>
      </c>
      <c r="E265" s="1" t="s">
        <v>1517</v>
      </c>
      <c r="F265" s="3" t="s">
        <v>1518</v>
      </c>
      <c r="G265" s="3" t="s">
        <v>1519</v>
      </c>
      <c r="H265" s="2">
        <f t="shared" si="7"/>
        <v>8.82461599289202</v>
      </c>
      <c r="I265" s="2"/>
    </row>
    <row r="266" spans="1:9">
      <c r="A266" s="1" t="s">
        <v>1520</v>
      </c>
      <c r="B266" s="3" t="s">
        <v>1418</v>
      </c>
      <c r="C266" s="3" t="s">
        <v>1418</v>
      </c>
      <c r="D266" s="3" t="s">
        <v>1419</v>
      </c>
      <c r="E266" s="1" t="s">
        <v>1521</v>
      </c>
      <c r="F266" s="3" t="s">
        <v>1522</v>
      </c>
      <c r="G266" s="3" t="s">
        <v>1523</v>
      </c>
      <c r="H266" s="2">
        <f>(G266/F266)</f>
        <v>11.9056365387608</v>
      </c>
      <c r="I266" s="2"/>
    </row>
    <row r="267" spans="1:9">
      <c r="A267" s="1" t="s">
        <v>1524</v>
      </c>
      <c r="B267" s="3" t="s">
        <v>1525</v>
      </c>
      <c r="C267" s="3" t="s">
        <v>1525</v>
      </c>
      <c r="D267" s="3" t="s">
        <v>1526</v>
      </c>
      <c r="E267" s="1" t="s">
        <v>1527</v>
      </c>
      <c r="F267" s="3" t="s">
        <v>1528</v>
      </c>
      <c r="G267" s="3" t="s">
        <v>1529</v>
      </c>
      <c r="H267" s="2">
        <f>(G267/F267)</f>
        <v>1.42721582163506</v>
      </c>
      <c r="I267" s="2"/>
    </row>
    <row r="268" spans="1:9">
      <c r="A268" s="1" t="s">
        <v>1530</v>
      </c>
      <c r="B268" s="3" t="s">
        <v>1531</v>
      </c>
      <c r="C268" s="3" t="s">
        <v>1531</v>
      </c>
      <c r="D268" s="3" t="s">
        <v>1532</v>
      </c>
      <c r="E268" s="1" t="s">
        <v>1533</v>
      </c>
      <c r="F268" s="3" t="s">
        <v>1534</v>
      </c>
      <c r="G268" s="3" t="s">
        <v>1535</v>
      </c>
      <c r="H268" s="2">
        <f>(G268/F268)</f>
        <v>3.00663763114706</v>
      </c>
      <c r="I268" s="2"/>
    </row>
    <row r="269" spans="1:9">
      <c r="A269" s="1" t="s">
        <v>1536</v>
      </c>
      <c r="B269" s="3" t="s">
        <v>1537</v>
      </c>
      <c r="C269" s="3" t="s">
        <v>1537</v>
      </c>
      <c r="D269" s="3" t="s">
        <v>1538</v>
      </c>
      <c r="E269" s="1" t="s">
        <v>1539</v>
      </c>
      <c r="F269" s="3" t="s">
        <v>1540</v>
      </c>
      <c r="G269" s="3" t="s">
        <v>1541</v>
      </c>
      <c r="H269" s="2">
        <f>(G269/F269)</f>
        <v>86.0978605063169</v>
      </c>
      <c r="I269" s="2"/>
    </row>
    <row r="270" spans="1:9">
      <c r="A270" s="1" t="s">
        <v>1542</v>
      </c>
      <c r="B270" s="3" t="s">
        <v>1543</v>
      </c>
      <c r="C270" s="3" t="s">
        <v>1543</v>
      </c>
      <c r="D270" s="3" t="s">
        <v>1544</v>
      </c>
      <c r="E270" s="1" t="s">
        <v>1545</v>
      </c>
      <c r="F270" s="3" t="s">
        <v>1546</v>
      </c>
      <c r="G270" s="3" t="s">
        <v>1547</v>
      </c>
      <c r="H270" s="2">
        <f>(G270/F270)</f>
        <v>1.47233181642628</v>
      </c>
      <c r="I270" s="2"/>
    </row>
    <row r="271" spans="1:9">
      <c r="A271" s="1" t="s">
        <v>1548</v>
      </c>
      <c r="B271" s="3" t="s">
        <v>750</v>
      </c>
      <c r="C271" s="3" t="s">
        <v>750</v>
      </c>
      <c r="D271" s="3" t="s">
        <v>751</v>
      </c>
      <c r="E271" s="1" t="s">
        <v>1549</v>
      </c>
      <c r="F271" s="3" t="s">
        <v>1550</v>
      </c>
      <c r="G271" s="3" t="s">
        <v>1551</v>
      </c>
      <c r="H271" s="2">
        <f>(G271/F271)</f>
        <v>12.4024240365135</v>
      </c>
      <c r="I271" s="2"/>
    </row>
    <row r="272" spans="1:9">
      <c r="A272" s="1" t="s">
        <v>1552</v>
      </c>
      <c r="B272" s="3" t="s">
        <v>1553</v>
      </c>
      <c r="C272" s="3" t="s">
        <v>1553</v>
      </c>
      <c r="D272" s="3" t="s">
        <v>1554</v>
      </c>
      <c r="E272" s="1" t="s">
        <v>1555</v>
      </c>
      <c r="F272" s="3" t="s">
        <v>1556</v>
      </c>
      <c r="G272" s="3" t="s">
        <v>1557</v>
      </c>
      <c r="H272" s="2">
        <f>(G272/F272)</f>
        <v>24.8865259158652</v>
      </c>
      <c r="I272" s="2"/>
    </row>
    <row r="273" spans="1:12">
      <c r="A273" s="1" t="s">
        <v>1558</v>
      </c>
      <c r="B273" s="3" t="s">
        <v>1218</v>
      </c>
      <c r="C273" s="3" t="s">
        <v>1218</v>
      </c>
      <c r="D273" s="3" t="s">
        <v>1219</v>
      </c>
      <c r="E273" s="6" t="s">
        <v>1559</v>
      </c>
      <c r="F273" s="3" t="s">
        <v>1560</v>
      </c>
      <c r="G273" s="3" t="s">
        <v>1561</v>
      </c>
      <c r="H273" s="4">
        <f>(G273/F273)</f>
        <v>1.09206782606227</v>
      </c>
      <c r="I273" s="1">
        <v>0.118784002959728</v>
      </c>
      <c r="J273">
        <f>(E273/I273)</f>
        <v>39.9487797686233</v>
      </c>
      <c r="K273">
        <f>(F273/I273)</f>
        <v>38.735451142918</v>
      </c>
      <c r="L273">
        <f>(G273/I273)</f>
        <v>42.3017399211876</v>
      </c>
    </row>
    <row r="274" spans="1:12">
      <c r="A274" s="1" t="s">
        <v>1562</v>
      </c>
      <c r="B274" s="3" t="s">
        <v>1563</v>
      </c>
      <c r="C274" s="3" t="s">
        <v>1563</v>
      </c>
      <c r="D274" s="3" t="s">
        <v>1564</v>
      </c>
      <c r="E274" s="1" t="s">
        <v>1565</v>
      </c>
      <c r="F274" s="3" t="s">
        <v>1566</v>
      </c>
      <c r="G274" s="3" t="s">
        <v>1567</v>
      </c>
      <c r="H274" s="2">
        <f>(G274/F274)</f>
        <v>1.76891145711283</v>
      </c>
      <c r="I274" s="2"/>
    </row>
    <row r="275" spans="1:12">
      <c r="A275" s="1" t="s">
        <v>1568</v>
      </c>
      <c r="B275" s="3" t="s">
        <v>1569</v>
      </c>
      <c r="C275" s="3" t="s">
        <v>1569</v>
      </c>
      <c r="D275" s="3" t="s">
        <v>1570</v>
      </c>
      <c r="E275" s="1" t="s">
        <v>1571</v>
      </c>
      <c r="F275" s="3" t="s">
        <v>1572</v>
      </c>
      <c r="G275" s="3" t="s">
        <v>1573</v>
      </c>
      <c r="H275" s="2">
        <f>(G275/F275)</f>
        <v>2.31515285107471e-41</v>
      </c>
      <c r="I275" s="2"/>
    </row>
    <row r="276" spans="1:12">
      <c r="A276" s="1" t="s">
        <v>1574</v>
      </c>
      <c r="B276" s="3" t="s">
        <v>1575</v>
      </c>
      <c r="C276" s="3" t="s">
        <v>1575</v>
      </c>
      <c r="D276" s="3" t="s">
        <v>1576</v>
      </c>
      <c r="E276" s="1" t="s">
        <v>1577</v>
      </c>
      <c r="F276" s="3" t="s">
        <v>1578</v>
      </c>
      <c r="G276" s="3" t="s">
        <v>1579</v>
      </c>
      <c r="H276" s="2">
        <f>(G276/F276)</f>
        <v>4.526846312066</v>
      </c>
      <c r="I276" s="2"/>
    </row>
    <row r="277" spans="1:12">
      <c r="A277" s="1" t="s">
        <v>1580</v>
      </c>
      <c r="B277" s="3" t="s">
        <v>65</v>
      </c>
      <c r="C277" s="3" t="s">
        <v>65</v>
      </c>
      <c r="D277" s="3" t="s">
        <v>167</v>
      </c>
      <c r="E277" s="1" t="s">
        <v>1581</v>
      </c>
      <c r="F277" s="3" t="s">
        <v>1582</v>
      </c>
      <c r="G277" s="3" t="s">
        <v>1583</v>
      </c>
      <c r="H277" s="2">
        <f>(G277/F277)</f>
        <v>2.73686185830034</v>
      </c>
      <c r="I277" s="2"/>
    </row>
    <row r="278" spans="1:12">
      <c r="B278" s="2"/>
      <c r="C278" s="2"/>
      <c r="D278" s="2"/>
      <c r="F278" s="2"/>
      <c r="G278" s="2"/>
      <c r="H278" s="2"/>
    </row>
    <row r="279" spans="1:12">
      <c r="B279" s="2"/>
      <c r="C279" s="2"/>
      <c r="D279" s="2"/>
      <c r="F279" s="2"/>
      <c r="G279" s="2"/>
      <c r="H279" s="2"/>
    </row>
    <row r="280" spans="1:12">
      <c r="B280" s="2"/>
      <c r="C280" s="2"/>
      <c r="D280" s="2"/>
      <c r="F280" s="2"/>
      <c r="G280" s="2"/>
      <c r="H280" s="2"/>
    </row>
    <row r="281" spans="1:12">
      <c r="B281" s="2"/>
      <c r="C281" s="2"/>
      <c r="D281" s="2"/>
      <c r="F281" s="2"/>
      <c r="G281" s="2"/>
      <c r="H281" s="2"/>
    </row>
    <row r="282" spans="1:12">
      <c r="B282" s="2"/>
      <c r="C282" s="2"/>
      <c r="D282" s="2"/>
      <c r="F282" s="2"/>
      <c r="G282" s="2"/>
      <c r="H282" s="2"/>
    </row>
    <row r="283" spans="1:12">
      <c r="B283" s="2"/>
      <c r="C283" s="2"/>
      <c r="D283" s="2"/>
      <c r="F283" s="2"/>
      <c r="G283" s="2"/>
      <c r="H283" s="2"/>
    </row>
    <row r="284" spans="1:12">
      <c r="B284" s="2"/>
      <c r="C284" s="2"/>
      <c r="D284" s="2"/>
      <c r="F284" s="2"/>
      <c r="G284" s="2"/>
      <c r="H284" s="2"/>
    </row>
    <row r="285" spans="1:12">
      <c r="B285" s="2"/>
      <c r="C285" s="2"/>
      <c r="D285" s="2"/>
      <c r="F285" s="2"/>
      <c r="G285" s="2"/>
      <c r="H285" s="2"/>
    </row>
    <row r="286" spans="1:12">
      <c r="B286" s="2"/>
      <c r="C286" s="2"/>
      <c r="D286" s="2"/>
      <c r="F286" s="2"/>
      <c r="G286" s="2"/>
      <c r="H286" s="2"/>
    </row>
    <row r="287" spans="1:12">
      <c r="B287" s="2"/>
      <c r="C287" s="2"/>
      <c r="D287" s="2"/>
      <c r="F287" s="2"/>
      <c r="G287" s="2"/>
      <c r="H287" s="2"/>
    </row>
    <row r="288" spans="1:12">
      <c r="B288" s="2"/>
      <c r="C288" s="2"/>
      <c r="D288" s="2"/>
      <c r="F288" s="2"/>
      <c r="G288" s="2"/>
      <c r="H288" s="2"/>
    </row>
    <row r="289" spans="2:8">
      <c r="B289" s="2"/>
      <c r="C289" s="2"/>
      <c r="D289" s="2"/>
      <c r="F289" s="2"/>
      <c r="G289" s="2"/>
      <c r="H289" s="2"/>
    </row>
    <row r="290" spans="2:8">
      <c r="B290" s="2"/>
      <c r="C290" s="2"/>
      <c r="D290" s="2"/>
      <c r="F290" s="2"/>
      <c r="G290" s="2"/>
      <c r="H29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2026-04-17T13:22:00Z</dcterms:created>
  <dcterms:modified xsi:type="dcterms:W3CDTF">2026-04-18T09:34:33Z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E0FEC5500DE94B64A00EF3F3CBE15216_12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